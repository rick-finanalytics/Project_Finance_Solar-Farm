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definedNames>
    <definedName name="Capacity">Sheet1!$B$5</definedName>
    <definedName name="Capacity_factor">Sheet1!$B$6</definedName>
    <definedName name="Degradation">Sheet1!$B$7</definedName>
    <definedName name="inflation_rate">Sheet1!$B$16</definedName>
    <definedName name="ppa_tariff">Sheet1!$B$10</definedName>
    <definedName name="Project_life">Sheet1!$B$8</definedName>
    <definedName name="Tariff_escalator">Sheet1!$B$11</definedName>
    <definedName name="Tax_rate">Sheet1!$B$23</definedName>
    <definedName name="WC_days">Sheet1!$B$27</definedName>
    <definedName name="Yearly_hours">Sheet1!$B$12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91" i="1" l="1"/>
  <c r="C91" i="1"/>
  <c r="C90" i="1"/>
  <c r="R92" i="1"/>
  <c r="R86" i="1"/>
  <c r="O76" i="1"/>
  <c r="P76" i="1"/>
  <c r="Q76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D61" i="1"/>
  <c r="D60" i="1"/>
  <c r="C62" i="1"/>
  <c r="R97" i="1" l="1"/>
  <c r="C97" i="1"/>
  <c r="R96" i="1"/>
  <c r="C96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C85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C83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B71" i="1"/>
  <c r="B70" i="1"/>
  <c r="C60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D55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D54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D48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D47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D46" i="1"/>
  <c r="E40" i="1"/>
  <c r="F40" i="1"/>
  <c r="G40" i="1"/>
  <c r="G42" i="1" s="1"/>
  <c r="H40" i="1"/>
  <c r="H42" i="1" s="1"/>
  <c r="I40" i="1"/>
  <c r="I42" i="1" s="1"/>
  <c r="J40" i="1"/>
  <c r="J42" i="1" s="1"/>
  <c r="K40" i="1"/>
  <c r="K42" i="1" s="1"/>
  <c r="L40" i="1"/>
  <c r="L42" i="1" s="1"/>
  <c r="M40" i="1"/>
  <c r="N40" i="1"/>
  <c r="O40" i="1"/>
  <c r="O42" i="1" s="1"/>
  <c r="P40" i="1"/>
  <c r="P42" i="1" s="1"/>
  <c r="Q40" i="1"/>
  <c r="Q42" i="1" s="1"/>
  <c r="R40" i="1"/>
  <c r="R42" i="1" s="1"/>
  <c r="D40" i="1"/>
  <c r="D42" i="1" s="1"/>
  <c r="E42" i="1"/>
  <c r="F42" i="1"/>
  <c r="M42" i="1"/>
  <c r="N42" i="1"/>
  <c r="C42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C41" i="1"/>
  <c r="C40" i="1"/>
  <c r="B37" i="1" l="1"/>
  <c r="B36" i="1"/>
  <c r="B35" i="1"/>
  <c r="B34" i="1"/>
  <c r="B33" i="1"/>
  <c r="B32" i="1"/>
  <c r="O96" i="1" l="1"/>
  <c r="P96" i="1"/>
  <c r="P97" i="1" s="1"/>
  <c r="Q96" i="1"/>
  <c r="O97" i="1"/>
  <c r="Q97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C61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B67" i="1"/>
  <c r="B68" i="1"/>
  <c r="B69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D76" i="1"/>
  <c r="E76" i="1"/>
  <c r="F76" i="1"/>
  <c r="G76" i="1"/>
  <c r="H76" i="1"/>
  <c r="I76" i="1"/>
  <c r="J76" i="1"/>
  <c r="K76" i="1"/>
  <c r="L76" i="1"/>
  <c r="M76" i="1"/>
  <c r="N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D96" i="1"/>
  <c r="E96" i="1"/>
  <c r="F96" i="1"/>
  <c r="G96" i="1"/>
  <c r="H96" i="1"/>
  <c r="I96" i="1"/>
  <c r="J96" i="1"/>
  <c r="K96" i="1"/>
  <c r="L96" i="1"/>
  <c r="M96" i="1"/>
  <c r="N96" i="1"/>
  <c r="D97" i="1"/>
  <c r="E97" i="1"/>
  <c r="F97" i="1"/>
  <c r="G97" i="1"/>
  <c r="H97" i="1"/>
  <c r="I97" i="1"/>
  <c r="J97" i="1"/>
  <c r="K97" i="1"/>
  <c r="L97" i="1"/>
  <c r="M97" i="1"/>
  <c r="N97" i="1"/>
  <c r="B98" i="1"/>
  <c r="B99" i="1"/>
</calcChain>
</file>

<file path=xl/sharedStrings.xml><?xml version="1.0" encoding="utf-8"?>
<sst xmlns="http://schemas.openxmlformats.org/spreadsheetml/2006/main" count="92" uniqueCount="80">
  <si>
    <t>Key Assumptions</t>
  </si>
  <si>
    <t>Capacity &amp;Revenue</t>
  </si>
  <si>
    <t>Capacity (MW)</t>
  </si>
  <si>
    <t>Annual degradation (decimal)</t>
  </si>
  <si>
    <t>Specific yield/ Capacity factor (decimal)</t>
  </si>
  <si>
    <t>Operational life (years)</t>
  </si>
  <si>
    <t>Construction period (years)</t>
  </si>
  <si>
    <t>PPA tariff (INR/MWh)</t>
  </si>
  <si>
    <t>Annual tariff escalator (decimal)</t>
  </si>
  <si>
    <t>Yearly Hours</t>
  </si>
  <si>
    <t>Expenses</t>
  </si>
  <si>
    <t>Fixed O&amp;M (INR/MW-year)</t>
  </si>
  <si>
    <t>Variable O&amp;M (INR/MWh)</t>
  </si>
  <si>
    <t>Inflation (for O&amp;M escalation)</t>
  </si>
  <si>
    <t>Capex &amp; Debt</t>
  </si>
  <si>
    <t>Initial CapEx (INR crore)</t>
  </si>
  <si>
    <t>Percent debt (% of capex)</t>
  </si>
  <si>
    <t>Debt tenor (years)</t>
  </si>
  <si>
    <t>Debt interest rate (annum)</t>
  </si>
  <si>
    <t>Debt grace period (years)</t>
  </si>
  <si>
    <t>Corporate tax rate</t>
  </si>
  <si>
    <t>Depreciation life (years)</t>
  </si>
  <si>
    <t>Salvage Value</t>
  </si>
  <si>
    <t>Project Details</t>
  </si>
  <si>
    <t>Working capital (days revenue)</t>
  </si>
  <si>
    <t>DSRA requirement (months of debt service)</t>
  </si>
  <si>
    <t>Discount Rate</t>
  </si>
  <si>
    <t>Energy &amp; Revenue</t>
  </si>
  <si>
    <t>Capacity Factor</t>
  </si>
  <si>
    <t>Degradation (annual)</t>
  </si>
  <si>
    <t>Tariff escalator</t>
  </si>
  <si>
    <t>Hours</t>
  </si>
  <si>
    <t>(in INR Cr.)</t>
  </si>
  <si>
    <t>Operation Flag</t>
  </si>
  <si>
    <t>Energy produced (MWh)</t>
  </si>
  <si>
    <t>Average tariff (INR/MWh)</t>
  </si>
  <si>
    <t>Revenue (INR Crs.)</t>
  </si>
  <si>
    <t>O&amp;M EXPENSES</t>
  </si>
  <si>
    <t>Inflation Factor</t>
  </si>
  <si>
    <t>Fixed Expenses</t>
  </si>
  <si>
    <t>Variable Expenses</t>
  </si>
  <si>
    <t>Total</t>
  </si>
  <si>
    <t>WORKING CAPITAL</t>
  </si>
  <si>
    <t>Revenue</t>
  </si>
  <si>
    <t>Working Capital Required</t>
  </si>
  <si>
    <t>Working Capital Change</t>
  </si>
  <si>
    <t>CAPEX &amp; DEPRECIATION</t>
  </si>
  <si>
    <t>Opening Balance</t>
  </si>
  <si>
    <t>Addition/Sale</t>
  </si>
  <si>
    <t>Capitalization of Interest</t>
  </si>
  <si>
    <t>Depreciation</t>
  </si>
  <si>
    <t>Closing Balance</t>
  </si>
  <si>
    <t>FINANCING &amp; DEBT SCHEDULE</t>
  </si>
  <si>
    <t>CapEx (INR)</t>
  </si>
  <si>
    <t>Debt drawdown (INR)</t>
  </si>
  <si>
    <t>Equity invest (INR)</t>
  </si>
  <si>
    <t>Opening debt balance</t>
  </si>
  <si>
    <t>Interest</t>
  </si>
  <si>
    <t>Principal repayment</t>
  </si>
  <si>
    <t>Debt payment (annuity)</t>
  </si>
  <si>
    <t>Closing debt balance</t>
  </si>
  <si>
    <t>CASHFLOW &amp; DSCR</t>
  </si>
  <si>
    <t>Operational Flag</t>
  </si>
  <si>
    <t>Total O&amp;M</t>
  </si>
  <si>
    <t>EBITDA</t>
  </si>
  <si>
    <t>Earning Before Taxes</t>
  </si>
  <si>
    <t>Tax</t>
  </si>
  <si>
    <t>Net Income</t>
  </si>
  <si>
    <t>Add: Depreciation</t>
  </si>
  <si>
    <t>Less: Principal repayment</t>
  </si>
  <si>
    <t>Working Capital</t>
  </si>
  <si>
    <t>Capital Expenditure Salvage</t>
  </si>
  <si>
    <t>DSRA</t>
  </si>
  <si>
    <t>Free cashflow to equity</t>
  </si>
  <si>
    <t>Debt service (Interest+Principal)</t>
  </si>
  <si>
    <t>DSCR (EBITDA / Debt service)</t>
  </si>
  <si>
    <t>Equity IRR</t>
  </si>
  <si>
    <t>Equity NPV</t>
  </si>
  <si>
    <t>(Integrated Project Finance, Valuation &amp; Credit Analysis)</t>
  </si>
  <si>
    <t>50 MW Solar Power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</si>
</sst>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64" formatCode="&quot;Year &quot;##"/>
    <numFmt numFmtId="165" formatCode="&quot;Year &quot;0"/>
    <numFmt numFmtId="167" formatCode="_ * #,##0_ ;_ * \-#,##0_ ;_ * &quot;-&quot;??_ ;_ @_ "/>
    <numFmt numFmtId="168" formatCode="0.0%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6"/>
      <color theme="2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6"/>
      <color theme="0" tint="-0.249977111117893"/>
      <name val="Calibri"/>
      <family val="2"/>
      <scheme val="minor"/>
    </font>
    <font>
      <b/>
      <i/>
      <sz val="11"/>
      <color theme="0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i/>
      <sz val="14"/>
      <color theme="0"/>
      <name val="Calibri"/>
      <family val="2"/>
      <scheme val="minor"/>
    </font>
    <font>
      <b/>
      <sz val="9"/>
      <name val="Arial Nova"/>
      <family val="2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darkDown">
        <bgColor theme="0" tint="-0.14996795556505021"/>
      </patternFill>
    </fill>
  </fills>
  <borders count="33">
    <border>
      <left/>
      <right/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/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3" xfId="0" applyFont="1" applyFill="1" applyBorder="1"/>
    <xf numFmtId="9" fontId="2" fillId="2" borderId="3" xfId="0" applyNumberFormat="1" applyFont="1" applyFill="1" applyBorder="1"/>
    <xf numFmtId="0" fontId="0" fillId="7" borderId="4" xfId="0" applyFill="1" applyBorder="1"/>
    <xf numFmtId="0" fontId="2" fillId="2" borderId="8" xfId="0" applyFont="1" applyFill="1" applyBorder="1"/>
    <xf numFmtId="0" fontId="1" fillId="6" borderId="5" xfId="0" applyFont="1" applyFill="1" applyBorder="1"/>
    <xf numFmtId="0" fontId="1" fillId="7" borderId="5" xfId="0" applyFont="1" applyFill="1" applyBorder="1"/>
    <xf numFmtId="0" fontId="1" fillId="0" borderId="0" xfId="0" applyFont="1" applyFill="1" applyBorder="1"/>
    <xf numFmtId="0" fontId="0" fillId="0" borderId="0" xfId="0" applyBorder="1"/>
    <xf numFmtId="168" fontId="2" fillId="2" borderId="3" xfId="0" applyNumberFormat="1" applyFont="1" applyFill="1" applyBorder="1"/>
    <xf numFmtId="0" fontId="0" fillId="0" borderId="6" xfId="0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0" fontId="0" fillId="7" borderId="5" xfId="0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0" fillId="6" borderId="5" xfId="0" applyFill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5" fillId="4" borderId="10" xfId="0" applyFont="1" applyFill="1" applyBorder="1" applyAlignment="1">
      <alignment horizontal="left"/>
    </xf>
    <xf numFmtId="0" fontId="6" fillId="4" borderId="11" xfId="0" applyFont="1" applyFill="1" applyBorder="1" applyAlignment="1">
      <alignment horizontal="left"/>
    </xf>
    <xf numFmtId="0" fontId="6" fillId="4" borderId="9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center"/>
    </xf>
    <xf numFmtId="0" fontId="11" fillId="0" borderId="0" xfId="0" applyFont="1"/>
    <xf numFmtId="0" fontId="11" fillId="0" borderId="1" xfId="0" applyFont="1" applyBorder="1"/>
    <xf numFmtId="164" fontId="1" fillId="6" borderId="4" xfId="0" applyNumberFormat="1" applyFont="1" applyFill="1" applyBorder="1" applyAlignment="1">
      <alignment horizontal="center" vertical="center"/>
    </xf>
    <xf numFmtId="0" fontId="1" fillId="7" borderId="4" xfId="0" applyNumberFormat="1" applyFont="1" applyFill="1" applyBorder="1" applyAlignment="1">
      <alignment horizontal="center" vertical="center"/>
    </xf>
    <xf numFmtId="1" fontId="1" fillId="7" borderId="4" xfId="0" applyNumberFormat="1" applyFont="1" applyFill="1" applyBorder="1" applyAlignment="1">
      <alignment horizontal="center" vertical="center"/>
    </xf>
    <xf numFmtId="2" fontId="1" fillId="7" borderId="4" xfId="0" applyNumberFormat="1" applyFont="1" applyFill="1" applyBorder="1" applyAlignment="1">
      <alignment horizontal="center" vertical="center"/>
    </xf>
    <xf numFmtId="167" fontId="9" fillId="8" borderId="12" xfId="0" applyNumberFormat="1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43" fontId="1" fillId="7" borderId="4" xfId="0" applyNumberFormat="1" applyFont="1" applyFill="1" applyBorder="1" applyAlignment="1">
      <alignment horizontal="center" vertical="center"/>
    </xf>
    <xf numFmtId="165" fontId="1" fillId="7" borderId="5" xfId="0" applyNumberFormat="1" applyFont="1" applyFill="1" applyBorder="1" applyAlignment="1">
      <alignment horizontal="center" vertical="center"/>
    </xf>
    <xf numFmtId="2" fontId="2" fillId="2" borderId="7" xfId="0" applyNumberFormat="1" applyFont="1" applyFill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9" fontId="2" fillId="2" borderId="8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1" fillId="7" borderId="5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10" fontId="12" fillId="7" borderId="5" xfId="0" applyNumberFormat="1" applyFont="1" applyFill="1" applyBorder="1" applyAlignment="1">
      <alignment horizontal="center" vertical="center"/>
    </xf>
    <xf numFmtId="2" fontId="12" fillId="7" borderId="5" xfId="0" applyNumberFormat="1" applyFont="1" applyFill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3" fillId="4" borderId="19" xfId="0" applyFont="1" applyFill="1" applyBorder="1" applyAlignment="1">
      <alignment horizontal="left"/>
    </xf>
    <xf numFmtId="0" fontId="0" fillId="0" borderId="20" xfId="0" applyBorder="1" applyAlignment="1">
      <alignment horizontal="center"/>
    </xf>
    <xf numFmtId="0" fontId="4" fillId="5" borderId="19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19" xfId="0" applyBorder="1"/>
    <xf numFmtId="0" fontId="0" fillId="0" borderId="19" xfId="0" applyBorder="1" applyAlignment="1">
      <alignment horizontal="center"/>
    </xf>
    <xf numFmtId="0" fontId="6" fillId="4" borderId="0" xfId="0" applyFont="1" applyFill="1" applyBorder="1" applyAlignment="1">
      <alignment horizontal="left"/>
    </xf>
    <xf numFmtId="0" fontId="6" fillId="4" borderId="21" xfId="0" applyFont="1" applyFill="1" applyBorder="1" applyAlignment="1">
      <alignment horizontal="left"/>
    </xf>
    <xf numFmtId="0" fontId="0" fillId="0" borderId="23" xfId="0" applyBorder="1" applyAlignment="1">
      <alignment horizontal="center"/>
    </xf>
    <xf numFmtId="0" fontId="0" fillId="6" borderId="24" xfId="0" applyFill="1" applyBorder="1" applyAlignment="1">
      <alignment horizontal="center"/>
    </xf>
    <xf numFmtId="164" fontId="1" fillId="6" borderId="25" xfId="0" applyNumberFormat="1" applyFont="1" applyFill="1" applyBorder="1" applyAlignment="1">
      <alignment horizontal="center" vertical="center"/>
    </xf>
    <xf numFmtId="0" fontId="11" fillId="0" borderId="19" xfId="0" applyFont="1" applyBorder="1"/>
    <xf numFmtId="0" fontId="11" fillId="0" borderId="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" fillId="6" borderId="24" xfId="0" applyFont="1" applyFill="1" applyBorder="1"/>
    <xf numFmtId="1" fontId="1" fillId="7" borderId="25" xfId="0" applyNumberFormat="1" applyFont="1" applyFill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21" xfId="0" applyNumberFormat="1" applyBorder="1" applyAlignment="1">
      <alignment horizontal="center" vertical="center"/>
    </xf>
    <xf numFmtId="2" fontId="1" fillId="7" borderId="25" xfId="0" applyNumberFormat="1" applyFont="1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5" fillId="4" borderId="19" xfId="0" applyFont="1" applyFill="1" applyBorder="1" applyAlignment="1">
      <alignment horizontal="left"/>
    </xf>
    <xf numFmtId="0" fontId="6" fillId="4" borderId="23" xfId="0" applyFont="1" applyFill="1" applyBorder="1" applyAlignment="1">
      <alignment horizontal="left"/>
    </xf>
    <xf numFmtId="2" fontId="0" fillId="0" borderId="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5" fillId="4" borderId="27" xfId="0" applyFont="1" applyFill="1" applyBorder="1" applyAlignment="1">
      <alignment horizontal="left"/>
    </xf>
    <xf numFmtId="0" fontId="0" fillId="7" borderId="24" xfId="0" applyFill="1" applyBorder="1" applyAlignment="1">
      <alignment horizontal="center"/>
    </xf>
    <xf numFmtId="0" fontId="1" fillId="7" borderId="24" xfId="0" applyFont="1" applyFill="1" applyBorder="1"/>
    <xf numFmtId="43" fontId="1" fillId="7" borderId="25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1" xfId="0" applyBorder="1"/>
    <xf numFmtId="0" fontId="0" fillId="0" borderId="0" xfId="0" applyBorder="1" applyAlignment="1">
      <alignment horizontal="center" vertical="center"/>
    </xf>
    <xf numFmtId="0" fontId="0" fillId="7" borderId="24" xfId="0" applyFill="1" applyBorder="1"/>
    <xf numFmtId="2" fontId="11" fillId="0" borderId="0" xfId="0" applyNumberFormat="1" applyFont="1" applyBorder="1" applyAlignment="1">
      <alignment horizontal="center" vertical="center"/>
    </xf>
    <xf numFmtId="2" fontId="11" fillId="0" borderId="21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7" borderId="28" xfId="0" applyFont="1" applyFill="1" applyBorder="1"/>
    <xf numFmtId="2" fontId="12" fillId="7" borderId="29" xfId="0" applyNumberFormat="1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10" fillId="7" borderId="2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9"/>
  <sheetViews>
    <sheetView tabSelected="1" topLeftCell="A49" zoomScale="57" workbookViewId="0">
      <selection activeCell="V65" sqref="V65"/>
    </sheetView>
  </sheetViews>
  <sheetFormatPr defaultRowHeight="14.4"/>
  <cols>
    <col min="1" max="1" width="36.5546875" bestFit="1" customWidth="1"/>
    <col min="2" max="2" width="16.6640625" bestFit="1" customWidth="1"/>
    <col min="3" max="3" width="14.33203125" bestFit="1" customWidth="1"/>
    <col min="4" max="15" width="11.21875" bestFit="1" customWidth="1"/>
    <col min="16" max="17" width="10.5546875" bestFit="1" customWidth="1"/>
    <col min="18" max="18" width="11.6640625" bestFit="1" customWidth="1"/>
  </cols>
  <sheetData>
    <row r="1" spans="1:18" ht="23.4">
      <c r="A1" s="55" t="s">
        <v>79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7"/>
    </row>
    <row r="2" spans="1:18" ht="18">
      <c r="A2" s="58" t="s">
        <v>78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59"/>
    </row>
    <row r="3" spans="1:18" ht="21">
      <c r="A3" s="60" t="s">
        <v>0</v>
      </c>
      <c r="B3" s="13"/>
      <c r="C3" s="44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61"/>
    </row>
    <row r="4" spans="1:18" ht="15.6">
      <c r="A4" s="62" t="s">
        <v>1</v>
      </c>
      <c r="B4" s="16"/>
      <c r="C4" s="45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4"/>
    </row>
    <row r="5" spans="1:18">
      <c r="A5" s="65" t="s">
        <v>2</v>
      </c>
      <c r="B5" s="3">
        <v>50</v>
      </c>
      <c r="C5" s="45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4"/>
    </row>
    <row r="6" spans="1:18">
      <c r="A6" s="65" t="s">
        <v>4</v>
      </c>
      <c r="B6" s="3">
        <v>0.2</v>
      </c>
      <c r="C6" s="45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4"/>
    </row>
    <row r="7" spans="1:18">
      <c r="A7" s="65" t="s">
        <v>3</v>
      </c>
      <c r="B7" s="3">
        <v>5.0000000000000001E-3</v>
      </c>
      <c r="C7" s="45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4"/>
    </row>
    <row r="8" spans="1:18">
      <c r="A8" s="65" t="s">
        <v>5</v>
      </c>
      <c r="B8" s="3">
        <v>15</v>
      </c>
      <c r="C8" s="45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>
      <c r="A9" s="65" t="s">
        <v>6</v>
      </c>
      <c r="B9" s="3">
        <v>1</v>
      </c>
      <c r="C9" s="45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4"/>
    </row>
    <row r="10" spans="1:18">
      <c r="A10" s="65" t="s">
        <v>7</v>
      </c>
      <c r="B10" s="3">
        <v>3500</v>
      </c>
      <c r="C10" s="45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4"/>
    </row>
    <row r="11" spans="1:18">
      <c r="A11" s="65" t="s">
        <v>8</v>
      </c>
      <c r="B11" s="4">
        <v>0.02</v>
      </c>
      <c r="C11" s="45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4"/>
    </row>
    <row r="12" spans="1:18">
      <c r="A12" s="65" t="s">
        <v>9</v>
      </c>
      <c r="B12" s="3">
        <v>8760</v>
      </c>
      <c r="C12" s="45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4"/>
    </row>
    <row r="13" spans="1:18" ht="15.6">
      <c r="A13" s="62" t="s">
        <v>10</v>
      </c>
      <c r="B13" s="16"/>
      <c r="C13" s="45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4"/>
    </row>
    <row r="14" spans="1:18">
      <c r="A14" s="66" t="s">
        <v>11</v>
      </c>
      <c r="B14" s="3">
        <v>100000</v>
      </c>
      <c r="C14" s="45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4"/>
    </row>
    <row r="15" spans="1:18">
      <c r="A15" s="66" t="s">
        <v>12</v>
      </c>
      <c r="B15" s="3">
        <v>5</v>
      </c>
      <c r="C15" s="45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4"/>
    </row>
    <row r="16" spans="1:18">
      <c r="A16" s="66" t="s">
        <v>13</v>
      </c>
      <c r="B16" s="11">
        <v>0.03</v>
      </c>
      <c r="C16" s="45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4"/>
    </row>
    <row r="17" spans="1:18" ht="15.6">
      <c r="A17" s="62" t="s">
        <v>14</v>
      </c>
      <c r="B17" s="16"/>
      <c r="C17" s="45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4"/>
    </row>
    <row r="18" spans="1:18">
      <c r="A18" s="66" t="s">
        <v>15</v>
      </c>
      <c r="B18" s="3">
        <v>200</v>
      </c>
      <c r="C18" s="45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4"/>
    </row>
    <row r="19" spans="1:18">
      <c r="A19" s="66" t="s">
        <v>16</v>
      </c>
      <c r="B19" s="4">
        <v>0.7</v>
      </c>
      <c r="C19" s="45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4"/>
    </row>
    <row r="20" spans="1:18">
      <c r="A20" s="66" t="s">
        <v>17</v>
      </c>
      <c r="B20" s="3">
        <v>12</v>
      </c>
      <c r="C20" s="45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4"/>
    </row>
    <row r="21" spans="1:18">
      <c r="A21" s="66" t="s">
        <v>18</v>
      </c>
      <c r="B21" s="4">
        <v>0.08</v>
      </c>
      <c r="C21" s="45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4"/>
    </row>
    <row r="22" spans="1:18">
      <c r="A22" s="66" t="s">
        <v>19</v>
      </c>
      <c r="B22" s="3">
        <v>1</v>
      </c>
      <c r="C22" s="45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4"/>
    </row>
    <row r="23" spans="1:18">
      <c r="A23" s="66" t="s">
        <v>20</v>
      </c>
      <c r="B23" s="4">
        <v>0.25</v>
      </c>
      <c r="C23" s="45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4"/>
    </row>
    <row r="24" spans="1:18">
      <c r="A24" s="66" t="s">
        <v>21</v>
      </c>
      <c r="B24" s="3">
        <v>15</v>
      </c>
      <c r="C24" s="45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4"/>
    </row>
    <row r="25" spans="1:18">
      <c r="A25" s="66" t="s">
        <v>22</v>
      </c>
      <c r="B25" s="4">
        <v>0.1</v>
      </c>
      <c r="C25" s="45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4"/>
    </row>
    <row r="26" spans="1:18" ht="15.6">
      <c r="A26" s="62" t="s">
        <v>23</v>
      </c>
      <c r="B26" s="16"/>
      <c r="C26" s="45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4"/>
    </row>
    <row r="27" spans="1:18">
      <c r="A27" s="66" t="s">
        <v>24</v>
      </c>
      <c r="B27" s="3">
        <v>30</v>
      </c>
      <c r="C27" s="45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4"/>
    </row>
    <row r="28" spans="1:18">
      <c r="A28" s="66" t="s">
        <v>25</v>
      </c>
      <c r="B28" s="3">
        <v>6</v>
      </c>
      <c r="C28" s="45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4"/>
    </row>
    <row r="29" spans="1:18">
      <c r="A29" s="66" t="s">
        <v>26</v>
      </c>
      <c r="B29" s="4">
        <v>0.1</v>
      </c>
      <c r="C29" s="45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4"/>
    </row>
    <row r="30" spans="1:18">
      <c r="A30" s="67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4"/>
    </row>
    <row r="31" spans="1:18" ht="21">
      <c r="A31" s="60" t="s">
        <v>27</v>
      </c>
      <c r="B31" s="13"/>
      <c r="C31" s="14" t="s">
        <v>32</v>
      </c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9"/>
    </row>
    <row r="32" spans="1:18">
      <c r="A32" s="66" t="s">
        <v>2</v>
      </c>
      <c r="B32" s="3">
        <f>Capacity</f>
        <v>50</v>
      </c>
      <c r="C32" s="45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4"/>
    </row>
    <row r="33" spans="1:29">
      <c r="A33" s="66" t="s">
        <v>28</v>
      </c>
      <c r="B33" s="3">
        <f>Capacity_factor</f>
        <v>0.2</v>
      </c>
      <c r="C33" s="45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4"/>
    </row>
    <row r="34" spans="1:29">
      <c r="A34" s="66" t="s">
        <v>29</v>
      </c>
      <c r="B34" s="3">
        <f>Degradation</f>
        <v>5.0000000000000001E-3</v>
      </c>
      <c r="C34" s="45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4"/>
    </row>
    <row r="35" spans="1:29">
      <c r="A35" s="66" t="s">
        <v>7</v>
      </c>
      <c r="B35" s="3">
        <f>ppa_tariff</f>
        <v>3500</v>
      </c>
      <c r="C35" s="45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4"/>
    </row>
    <row r="36" spans="1:29">
      <c r="A36" s="66" t="s">
        <v>30</v>
      </c>
      <c r="B36" s="4">
        <f>Tariff_escalator</f>
        <v>0.02</v>
      </c>
      <c r="C36" s="45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4"/>
    </row>
    <row r="37" spans="1:29">
      <c r="A37" s="66" t="s">
        <v>31</v>
      </c>
      <c r="B37" s="6">
        <f>Yearly_hours</f>
        <v>8760</v>
      </c>
      <c r="C37" s="46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70"/>
    </row>
    <row r="38" spans="1:29">
      <c r="A38" s="71"/>
      <c r="B38" s="17"/>
      <c r="C38" s="25">
        <v>1</v>
      </c>
      <c r="D38" s="25">
        <v>2</v>
      </c>
      <c r="E38" s="25">
        <v>3</v>
      </c>
      <c r="F38" s="25">
        <v>4</v>
      </c>
      <c r="G38" s="25">
        <v>5</v>
      </c>
      <c r="H38" s="25">
        <v>6</v>
      </c>
      <c r="I38" s="25">
        <v>7</v>
      </c>
      <c r="J38" s="25">
        <v>8</v>
      </c>
      <c r="K38" s="25">
        <v>9</v>
      </c>
      <c r="L38" s="25">
        <v>10</v>
      </c>
      <c r="M38" s="25">
        <v>11</v>
      </c>
      <c r="N38" s="25">
        <v>12</v>
      </c>
      <c r="O38" s="25">
        <v>13</v>
      </c>
      <c r="P38" s="25">
        <v>14</v>
      </c>
      <c r="Q38" s="25">
        <v>15</v>
      </c>
      <c r="R38" s="72">
        <v>16</v>
      </c>
      <c r="AC38" s="10"/>
    </row>
    <row r="39" spans="1:29" s="23" customFormat="1">
      <c r="A39" s="73" t="s">
        <v>33</v>
      </c>
      <c r="B39" s="24"/>
      <c r="C39" s="74">
        <v>0</v>
      </c>
      <c r="D39" s="74">
        <v>1</v>
      </c>
      <c r="E39" s="74">
        <v>1</v>
      </c>
      <c r="F39" s="74">
        <v>1</v>
      </c>
      <c r="G39" s="74">
        <v>1</v>
      </c>
      <c r="H39" s="74">
        <v>1</v>
      </c>
      <c r="I39" s="74">
        <v>1</v>
      </c>
      <c r="J39" s="74">
        <v>1</v>
      </c>
      <c r="K39" s="74">
        <v>1</v>
      </c>
      <c r="L39" s="74">
        <v>1</v>
      </c>
      <c r="M39" s="74">
        <v>1</v>
      </c>
      <c r="N39" s="74">
        <v>1</v>
      </c>
      <c r="O39" s="74">
        <v>1</v>
      </c>
      <c r="P39" s="74">
        <v>1</v>
      </c>
      <c r="Q39" s="74">
        <v>1</v>
      </c>
      <c r="R39" s="75">
        <v>1</v>
      </c>
    </row>
    <row r="40" spans="1:29" s="1" customFormat="1">
      <c r="A40" s="76" t="s">
        <v>34</v>
      </c>
      <c r="B40" s="7"/>
      <c r="C40" s="26">
        <f>Capacity*Capacity_factor*Yearly_hours*(1-Degradation)^(C38-1)*C39</f>
        <v>0</v>
      </c>
      <c r="D40" s="27">
        <f t="shared" ref="D40:R40" si="0">Capacity*Capacity_factor*Yearly_hours*(1-Degradation)^(D38-2)*D39</f>
        <v>87600</v>
      </c>
      <c r="E40" s="27">
        <f t="shared" si="0"/>
        <v>87162</v>
      </c>
      <c r="F40" s="27">
        <f t="shared" si="0"/>
        <v>86726.19</v>
      </c>
      <c r="G40" s="27">
        <f t="shared" si="0"/>
        <v>86292.559049999996</v>
      </c>
      <c r="H40" s="27">
        <f t="shared" si="0"/>
        <v>85861.096254750009</v>
      </c>
      <c r="I40" s="27">
        <f t="shared" si="0"/>
        <v>85431.790773476256</v>
      </c>
      <c r="J40" s="27">
        <f t="shared" si="0"/>
        <v>85004.631819608883</v>
      </c>
      <c r="K40" s="27">
        <f t="shared" si="0"/>
        <v>84579.608660510828</v>
      </c>
      <c r="L40" s="27">
        <f t="shared" si="0"/>
        <v>84156.710617208271</v>
      </c>
      <c r="M40" s="27">
        <f t="shared" si="0"/>
        <v>83735.927064122225</v>
      </c>
      <c r="N40" s="27">
        <f t="shared" si="0"/>
        <v>83317.247428801624</v>
      </c>
      <c r="O40" s="27">
        <f t="shared" si="0"/>
        <v>82900.661191657608</v>
      </c>
      <c r="P40" s="27">
        <f t="shared" si="0"/>
        <v>82486.157885699329</v>
      </c>
      <c r="Q40" s="27">
        <f t="shared" si="0"/>
        <v>82073.727096270843</v>
      </c>
      <c r="R40" s="77">
        <f t="shared" si="0"/>
        <v>81663.358460789488</v>
      </c>
      <c r="S40"/>
      <c r="T40"/>
      <c r="U40"/>
      <c r="V40"/>
      <c r="W40"/>
      <c r="X40"/>
      <c r="Y40"/>
      <c r="Z40"/>
      <c r="AA40"/>
      <c r="AB40"/>
      <c r="AC40" s="9"/>
    </row>
    <row r="41" spans="1:29">
      <c r="A41" s="66" t="s">
        <v>35</v>
      </c>
      <c r="B41" s="2"/>
      <c r="C41" s="78">
        <f t="shared" ref="C41:R41" si="1">ppa_tariff*(1+Tariff_escalator)^(C38-2)*C39</f>
        <v>0</v>
      </c>
      <c r="D41" s="78">
        <f t="shared" si="1"/>
        <v>3500</v>
      </c>
      <c r="E41" s="78">
        <f t="shared" si="1"/>
        <v>3570</v>
      </c>
      <c r="F41" s="78">
        <f t="shared" si="1"/>
        <v>3641.4</v>
      </c>
      <c r="G41" s="78">
        <f t="shared" si="1"/>
        <v>3714.2279999999996</v>
      </c>
      <c r="H41" s="78">
        <f t="shared" si="1"/>
        <v>3788.5125600000001</v>
      </c>
      <c r="I41" s="78">
        <f t="shared" si="1"/>
        <v>3864.2828112000002</v>
      </c>
      <c r="J41" s="78">
        <f t="shared" si="1"/>
        <v>3941.5684674240001</v>
      </c>
      <c r="K41" s="78">
        <f t="shared" si="1"/>
        <v>4020.3998367724794</v>
      </c>
      <c r="L41" s="78">
        <f t="shared" si="1"/>
        <v>4100.807833507929</v>
      </c>
      <c r="M41" s="78">
        <f t="shared" si="1"/>
        <v>4182.823990178088</v>
      </c>
      <c r="N41" s="78">
        <f t="shared" si="1"/>
        <v>4266.4804699816495</v>
      </c>
      <c r="O41" s="78">
        <f t="shared" si="1"/>
        <v>4351.8100793812819</v>
      </c>
      <c r="P41" s="78">
        <f t="shared" si="1"/>
        <v>4438.8462809689081</v>
      </c>
      <c r="Q41" s="78">
        <f t="shared" si="1"/>
        <v>4527.6232065882859</v>
      </c>
      <c r="R41" s="79">
        <f t="shared" si="1"/>
        <v>4618.1756707200529</v>
      </c>
      <c r="AC41" s="10"/>
    </row>
    <row r="42" spans="1:29" s="1" customFormat="1">
      <c r="A42" s="76" t="s">
        <v>36</v>
      </c>
      <c r="B42" s="7"/>
      <c r="C42" s="26">
        <f>C40*C41/10^7</f>
        <v>0</v>
      </c>
      <c r="D42" s="28">
        <f t="shared" ref="D42:R42" si="2">D40*D41/10^7</f>
        <v>30.66</v>
      </c>
      <c r="E42" s="28">
        <f t="shared" si="2"/>
        <v>31.116834000000001</v>
      </c>
      <c r="F42" s="28">
        <f t="shared" si="2"/>
        <v>31.580474826600003</v>
      </c>
      <c r="G42" s="28">
        <f t="shared" si="2"/>
        <v>32.051023901516338</v>
      </c>
      <c r="H42" s="28">
        <f t="shared" si="2"/>
        <v>32.528584157648936</v>
      </c>
      <c r="I42" s="28">
        <f t="shared" si="2"/>
        <v>33.013260061597904</v>
      </c>
      <c r="J42" s="28">
        <f t="shared" si="2"/>
        <v>33.505157636515719</v>
      </c>
      <c r="K42" s="28">
        <f t="shared" si="2"/>
        <v>34.004384485299788</v>
      </c>
      <c r="L42" s="28">
        <f t="shared" si="2"/>
        <v>34.511049814130757</v>
      </c>
      <c r="M42" s="28">
        <f t="shared" si="2"/>
        <v>35.025264456361306</v>
      </c>
      <c r="N42" s="28">
        <f t="shared" si="2"/>
        <v>35.547140896761093</v>
      </c>
      <c r="O42" s="28">
        <f t="shared" si="2"/>
        <v>36.076793296122823</v>
      </c>
      <c r="P42" s="28">
        <f t="shared" si="2"/>
        <v>36.614337516235068</v>
      </c>
      <c r="Q42" s="28">
        <f t="shared" si="2"/>
        <v>37.159891145226965</v>
      </c>
      <c r="R42" s="80">
        <f t="shared" si="2"/>
        <v>37.713573523290862</v>
      </c>
      <c r="S42"/>
      <c r="T42"/>
      <c r="U42"/>
      <c r="V42"/>
      <c r="W42"/>
      <c r="X42"/>
      <c r="Y42"/>
      <c r="Z42"/>
      <c r="AA42"/>
      <c r="AB42"/>
    </row>
    <row r="43" spans="1:29">
      <c r="A43" s="8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61"/>
    </row>
    <row r="44" spans="1:29" ht="21">
      <c r="A44" s="82" t="s">
        <v>37</v>
      </c>
      <c r="B44" s="18"/>
      <c r="C44" s="20" t="s">
        <v>32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83"/>
    </row>
    <row r="45" spans="1:29">
      <c r="A45" s="71"/>
      <c r="B45" s="17"/>
      <c r="C45" s="25">
        <v>1</v>
      </c>
      <c r="D45" s="25">
        <v>2</v>
      </c>
      <c r="E45" s="25">
        <v>3</v>
      </c>
      <c r="F45" s="25">
        <v>4</v>
      </c>
      <c r="G45" s="25">
        <v>5</v>
      </c>
      <c r="H45" s="25">
        <v>6</v>
      </c>
      <c r="I45" s="25">
        <v>7</v>
      </c>
      <c r="J45" s="25">
        <v>8</v>
      </c>
      <c r="K45" s="25">
        <v>9</v>
      </c>
      <c r="L45" s="25">
        <v>10</v>
      </c>
      <c r="M45" s="25">
        <v>11</v>
      </c>
      <c r="N45" s="25">
        <v>12</v>
      </c>
      <c r="O45" s="25">
        <v>13</v>
      </c>
      <c r="P45" s="25">
        <v>14</v>
      </c>
      <c r="Q45" s="25">
        <v>15</v>
      </c>
      <c r="R45" s="72">
        <v>16</v>
      </c>
    </row>
    <row r="46" spans="1:29">
      <c r="A46" s="66" t="s">
        <v>38</v>
      </c>
      <c r="B46" s="2"/>
      <c r="C46" s="29"/>
      <c r="D46" s="84">
        <f t="shared" ref="D46:R46" si="3">(1+inflation_rate)^(C45-1)</f>
        <v>1</v>
      </c>
      <c r="E46" s="84">
        <f t="shared" si="3"/>
        <v>1.03</v>
      </c>
      <c r="F46" s="84">
        <f t="shared" si="3"/>
        <v>1.0609</v>
      </c>
      <c r="G46" s="84">
        <f t="shared" si="3"/>
        <v>1.092727</v>
      </c>
      <c r="H46" s="84">
        <f t="shared" si="3"/>
        <v>1.1255088099999999</v>
      </c>
      <c r="I46" s="84">
        <f t="shared" si="3"/>
        <v>1.1592740742999998</v>
      </c>
      <c r="J46" s="84">
        <f t="shared" si="3"/>
        <v>1.1940522965289999</v>
      </c>
      <c r="K46" s="84">
        <f t="shared" si="3"/>
        <v>1.22987386542487</v>
      </c>
      <c r="L46" s="84">
        <f t="shared" si="3"/>
        <v>1.2667700813876159</v>
      </c>
      <c r="M46" s="84">
        <f t="shared" si="3"/>
        <v>1.3047731838292445</v>
      </c>
      <c r="N46" s="84">
        <f t="shared" si="3"/>
        <v>1.3439163793441218</v>
      </c>
      <c r="O46" s="84">
        <f t="shared" si="3"/>
        <v>1.3842338707244455</v>
      </c>
      <c r="P46" s="84">
        <f t="shared" si="3"/>
        <v>1.4257608868461786</v>
      </c>
      <c r="Q46" s="84">
        <f t="shared" si="3"/>
        <v>1.4685337134515639</v>
      </c>
      <c r="R46" s="85">
        <f t="shared" si="3"/>
        <v>1.512589724855111</v>
      </c>
    </row>
    <row r="47" spans="1:29">
      <c r="A47" s="66" t="s">
        <v>39</v>
      </c>
      <c r="B47" s="2"/>
      <c r="C47" s="29"/>
      <c r="D47" s="84">
        <f t="shared" ref="D47:R47" si="4">(Capacity*$B$14*D46)/10^7</f>
        <v>0.5</v>
      </c>
      <c r="E47" s="84">
        <f t="shared" si="4"/>
        <v>0.51500000000000001</v>
      </c>
      <c r="F47" s="84">
        <f t="shared" si="4"/>
        <v>0.53044999999999998</v>
      </c>
      <c r="G47" s="84">
        <f t="shared" si="4"/>
        <v>0.5463635</v>
      </c>
      <c r="H47" s="84">
        <f t="shared" si="4"/>
        <v>0.56275440499999996</v>
      </c>
      <c r="I47" s="84">
        <f t="shared" si="4"/>
        <v>0.57963703714999992</v>
      </c>
      <c r="J47" s="84">
        <f t="shared" si="4"/>
        <v>0.59702614826449996</v>
      </c>
      <c r="K47" s="84">
        <f t="shared" si="4"/>
        <v>0.61493693271243499</v>
      </c>
      <c r="L47" s="84">
        <f t="shared" si="4"/>
        <v>0.63338504069380797</v>
      </c>
      <c r="M47" s="84">
        <f t="shared" si="4"/>
        <v>0.65238659191462223</v>
      </c>
      <c r="N47" s="84">
        <f t="shared" si="4"/>
        <v>0.67195818967206089</v>
      </c>
      <c r="O47" s="84">
        <f t="shared" si="4"/>
        <v>0.69211693536222274</v>
      </c>
      <c r="P47" s="84">
        <f t="shared" si="4"/>
        <v>0.71288044342308932</v>
      </c>
      <c r="Q47" s="84">
        <f t="shared" si="4"/>
        <v>0.73426685672578196</v>
      </c>
      <c r="R47" s="85">
        <f t="shared" si="4"/>
        <v>0.7562948624275555</v>
      </c>
    </row>
    <row r="48" spans="1:29">
      <c r="A48" s="66" t="s">
        <v>40</v>
      </c>
      <c r="B48" s="2"/>
      <c r="C48" s="29"/>
      <c r="D48" s="84">
        <f>$B$15*D40*D46/10^7</f>
        <v>4.3799999999999999E-2</v>
      </c>
      <c r="E48" s="84">
        <f t="shared" ref="E48:R48" si="5">$B$15*E40*E46/10^7</f>
        <v>4.488843E-2</v>
      </c>
      <c r="F48" s="84">
        <f t="shared" si="5"/>
        <v>4.6003907485499998E-2</v>
      </c>
      <c r="G48" s="84">
        <f t="shared" si="5"/>
        <v>4.7147104586514672E-2</v>
      </c>
      <c r="H48" s="84">
        <f t="shared" si="5"/>
        <v>4.8318710135489572E-2</v>
      </c>
      <c r="I48" s="84">
        <f t="shared" si="5"/>
        <v>4.9519430082356479E-2</v>
      </c>
      <c r="J48" s="84">
        <f t="shared" si="5"/>
        <v>5.0749987919903039E-2</v>
      </c>
      <c r="K48" s="84">
        <f t="shared" si="5"/>
        <v>5.2011125119712634E-2</v>
      </c>
      <c r="L48" s="84">
        <f t="shared" si="5"/>
        <v>5.330360157893748E-2</v>
      </c>
      <c r="M48" s="84">
        <f t="shared" si="5"/>
        <v>5.4628196078174075E-2</v>
      </c>
      <c r="N48" s="84">
        <f t="shared" si="5"/>
        <v>5.5985706750716714E-2</v>
      </c>
      <c r="O48" s="84">
        <f t="shared" si="5"/>
        <v>5.7376951563472008E-2</v>
      </c>
      <c r="P48" s="84">
        <f t="shared" si="5"/>
        <v>5.8802768809824282E-2</v>
      </c>
      <c r="Q48" s="84">
        <f t="shared" si="5"/>
        <v>6.0264017614748436E-2</v>
      </c>
      <c r="R48" s="85">
        <f t="shared" si="5"/>
        <v>6.1761578452474937E-2</v>
      </c>
    </row>
    <row r="49" spans="1:29" s="1" customFormat="1">
      <c r="A49" s="76" t="s">
        <v>41</v>
      </c>
      <c r="B49" s="7"/>
      <c r="C49" s="30"/>
      <c r="D49" s="28">
        <f t="shared" ref="D49:R49" si="6">SUM(D47:D48)</f>
        <v>0.54379999999999995</v>
      </c>
      <c r="E49" s="28">
        <f t="shared" si="6"/>
        <v>0.55988842999999999</v>
      </c>
      <c r="F49" s="28">
        <f t="shared" si="6"/>
        <v>0.57645390748549996</v>
      </c>
      <c r="G49" s="28">
        <f t="shared" si="6"/>
        <v>0.59351060458651472</v>
      </c>
      <c r="H49" s="28">
        <f t="shared" si="6"/>
        <v>0.61107311513548956</v>
      </c>
      <c r="I49" s="28">
        <f t="shared" si="6"/>
        <v>0.62915646723235641</v>
      </c>
      <c r="J49" s="28">
        <f t="shared" si="6"/>
        <v>0.647776136184403</v>
      </c>
      <c r="K49" s="28">
        <f t="shared" si="6"/>
        <v>0.66694805783214761</v>
      </c>
      <c r="L49" s="28">
        <f t="shared" si="6"/>
        <v>0.6866886422727454</v>
      </c>
      <c r="M49" s="28">
        <f t="shared" si="6"/>
        <v>0.70701478799279627</v>
      </c>
      <c r="N49" s="28">
        <f t="shared" si="6"/>
        <v>0.72794389642277757</v>
      </c>
      <c r="O49" s="28">
        <f t="shared" si="6"/>
        <v>0.74949388692569474</v>
      </c>
      <c r="P49" s="28">
        <f t="shared" si="6"/>
        <v>0.77168321223291358</v>
      </c>
      <c r="Q49" s="28">
        <f t="shared" si="6"/>
        <v>0.79453087434053038</v>
      </c>
      <c r="R49" s="80">
        <f t="shared" si="6"/>
        <v>0.81805644088003049</v>
      </c>
      <c r="S49"/>
      <c r="T49"/>
      <c r="U49"/>
      <c r="V49"/>
      <c r="W49"/>
      <c r="X49"/>
      <c r="Y49"/>
      <c r="Z49"/>
      <c r="AA49"/>
      <c r="AB49"/>
      <c r="AC49" s="9"/>
    </row>
    <row r="50" spans="1:29">
      <c r="A50" s="81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61"/>
    </row>
    <row r="51" spans="1:29" ht="21">
      <c r="A51" s="86" t="s">
        <v>42</v>
      </c>
      <c r="B51" s="19"/>
      <c r="C51" s="14" t="s">
        <v>32</v>
      </c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9"/>
    </row>
    <row r="52" spans="1:29">
      <c r="A52" s="87"/>
      <c r="B52" s="15"/>
      <c r="C52" s="25">
        <v>1</v>
      </c>
      <c r="D52" s="25">
        <v>2</v>
      </c>
      <c r="E52" s="25">
        <v>3</v>
      </c>
      <c r="F52" s="25">
        <v>4</v>
      </c>
      <c r="G52" s="25">
        <v>5</v>
      </c>
      <c r="H52" s="25">
        <v>6</v>
      </c>
      <c r="I52" s="25">
        <v>7</v>
      </c>
      <c r="J52" s="25">
        <v>8</v>
      </c>
      <c r="K52" s="25">
        <v>9</v>
      </c>
      <c r="L52" s="25">
        <v>10</v>
      </c>
      <c r="M52" s="25">
        <v>11</v>
      </c>
      <c r="N52" s="25">
        <v>12</v>
      </c>
      <c r="O52" s="25">
        <v>13</v>
      </c>
      <c r="P52" s="25">
        <v>14</v>
      </c>
      <c r="Q52" s="25">
        <v>15</v>
      </c>
      <c r="R52" s="72">
        <v>16</v>
      </c>
    </row>
    <row r="53" spans="1:29">
      <c r="A53" s="66" t="s">
        <v>43</v>
      </c>
      <c r="B53" s="2"/>
      <c r="C53" s="29"/>
      <c r="D53" s="84">
        <f t="shared" ref="D53:R53" si="7">D42</f>
        <v>30.66</v>
      </c>
      <c r="E53" s="84">
        <f t="shared" si="7"/>
        <v>31.116834000000001</v>
      </c>
      <c r="F53" s="84">
        <f t="shared" si="7"/>
        <v>31.580474826600003</v>
      </c>
      <c r="G53" s="84">
        <f t="shared" si="7"/>
        <v>32.051023901516338</v>
      </c>
      <c r="H53" s="84">
        <f t="shared" si="7"/>
        <v>32.528584157648936</v>
      </c>
      <c r="I53" s="84">
        <f t="shared" si="7"/>
        <v>33.013260061597904</v>
      </c>
      <c r="J53" s="84">
        <f t="shared" si="7"/>
        <v>33.505157636515719</v>
      </c>
      <c r="K53" s="84">
        <f t="shared" si="7"/>
        <v>34.004384485299788</v>
      </c>
      <c r="L53" s="84">
        <f t="shared" si="7"/>
        <v>34.511049814130757</v>
      </c>
      <c r="M53" s="84">
        <f t="shared" si="7"/>
        <v>35.025264456361306</v>
      </c>
      <c r="N53" s="84">
        <f t="shared" si="7"/>
        <v>35.547140896761093</v>
      </c>
      <c r="O53" s="84">
        <f t="shared" si="7"/>
        <v>36.076793296122823</v>
      </c>
      <c r="P53" s="84">
        <f t="shared" si="7"/>
        <v>36.614337516235068</v>
      </c>
      <c r="Q53" s="84">
        <f t="shared" si="7"/>
        <v>37.159891145226965</v>
      </c>
      <c r="R53" s="85">
        <f t="shared" si="7"/>
        <v>37.713573523290862</v>
      </c>
    </row>
    <row r="54" spans="1:29">
      <c r="A54" s="66" t="s">
        <v>44</v>
      </c>
      <c r="B54" s="2"/>
      <c r="C54" s="29"/>
      <c r="D54" s="84">
        <f t="shared" ref="D54:R54" si="8">D53*WC_days/365</f>
        <v>2.52</v>
      </c>
      <c r="E54" s="84">
        <f t="shared" si="8"/>
        <v>2.5575480000000002</v>
      </c>
      <c r="F54" s="84">
        <f t="shared" si="8"/>
        <v>2.5956554652000006</v>
      </c>
      <c r="G54" s="84">
        <f t="shared" si="8"/>
        <v>2.6343307316314801</v>
      </c>
      <c r="H54" s="84">
        <f t="shared" si="8"/>
        <v>2.6735822595327892</v>
      </c>
      <c r="I54" s="84">
        <f t="shared" si="8"/>
        <v>2.7134186351998277</v>
      </c>
      <c r="J54" s="84">
        <f t="shared" si="8"/>
        <v>2.7538485728643058</v>
      </c>
      <c r="K54" s="84">
        <f t="shared" si="8"/>
        <v>2.7948809165999826</v>
      </c>
      <c r="L54" s="84">
        <f t="shared" si="8"/>
        <v>2.8365246422573227</v>
      </c>
      <c r="M54" s="84">
        <f t="shared" si="8"/>
        <v>2.8787888594269564</v>
      </c>
      <c r="N54" s="84">
        <f t="shared" si="8"/>
        <v>2.9216828134324184</v>
      </c>
      <c r="O54" s="84">
        <f t="shared" si="8"/>
        <v>2.9652158873525609</v>
      </c>
      <c r="P54" s="84">
        <f t="shared" si="8"/>
        <v>3.0093976040741151</v>
      </c>
      <c r="Q54" s="84">
        <f t="shared" si="8"/>
        <v>3.0542376283748189</v>
      </c>
      <c r="R54" s="85">
        <f t="shared" si="8"/>
        <v>3.0997457690376051</v>
      </c>
    </row>
    <row r="55" spans="1:29" s="1" customFormat="1">
      <c r="A55" s="88" t="s">
        <v>45</v>
      </c>
      <c r="B55" s="8"/>
      <c r="C55" s="29"/>
      <c r="D55" s="31">
        <f>C54-D54</f>
        <v>-2.52</v>
      </c>
      <c r="E55" s="31">
        <f t="shared" ref="E55:R55" si="9">D54-E54</f>
        <v>-3.7548000000000137E-2</v>
      </c>
      <c r="F55" s="31">
        <f t="shared" si="9"/>
        <v>-3.8107465200000412E-2</v>
      </c>
      <c r="G55" s="31">
        <f t="shared" si="9"/>
        <v>-3.867526643147956E-2</v>
      </c>
      <c r="H55" s="31">
        <f t="shared" si="9"/>
        <v>-3.9251527901309036E-2</v>
      </c>
      <c r="I55" s="31">
        <f t="shared" si="9"/>
        <v>-3.983637566703857E-2</v>
      </c>
      <c r="J55" s="31">
        <f t="shared" si="9"/>
        <v>-4.0429937664478111E-2</v>
      </c>
      <c r="K55" s="31">
        <f t="shared" si="9"/>
        <v>-4.1032343735676768E-2</v>
      </c>
      <c r="L55" s="31">
        <f t="shared" si="9"/>
        <v>-4.1643725657340092E-2</v>
      </c>
      <c r="M55" s="31">
        <f t="shared" si="9"/>
        <v>-4.2264217169633689E-2</v>
      </c>
      <c r="N55" s="31">
        <f t="shared" si="9"/>
        <v>-4.2893954005462032E-2</v>
      </c>
      <c r="O55" s="31">
        <f t="shared" si="9"/>
        <v>-4.3533073920142495E-2</v>
      </c>
      <c r="P55" s="31">
        <f t="shared" si="9"/>
        <v>-4.4181716721554132E-2</v>
      </c>
      <c r="Q55" s="31">
        <f t="shared" si="9"/>
        <v>-4.4840024300703885E-2</v>
      </c>
      <c r="R55" s="89">
        <f t="shared" si="9"/>
        <v>-4.550814066278619E-2</v>
      </c>
      <c r="S55"/>
      <c r="T55"/>
      <c r="U55"/>
      <c r="V55"/>
      <c r="W55"/>
      <c r="X55"/>
      <c r="Y55"/>
      <c r="Z55"/>
      <c r="AA55"/>
      <c r="AB55"/>
      <c r="AC55" s="9"/>
    </row>
    <row r="56" spans="1:29">
      <c r="A56" s="81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61"/>
    </row>
    <row r="57" spans="1:29" ht="21">
      <c r="A57" s="60" t="s">
        <v>46</v>
      </c>
      <c r="B57" s="13"/>
      <c r="C57" s="14" t="s">
        <v>32</v>
      </c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9"/>
    </row>
    <row r="58" spans="1:29">
      <c r="A58" s="87"/>
      <c r="B58" s="15"/>
      <c r="C58" s="25">
        <v>1</v>
      </c>
      <c r="D58" s="25">
        <v>2</v>
      </c>
      <c r="E58" s="25">
        <v>3</v>
      </c>
      <c r="F58" s="25">
        <v>4</v>
      </c>
      <c r="G58" s="25">
        <v>5</v>
      </c>
      <c r="H58" s="25">
        <v>6</v>
      </c>
      <c r="I58" s="25">
        <v>7</v>
      </c>
      <c r="J58" s="25">
        <v>8</v>
      </c>
      <c r="K58" s="25">
        <v>9</v>
      </c>
      <c r="L58" s="25">
        <v>10</v>
      </c>
      <c r="M58" s="25">
        <v>11</v>
      </c>
      <c r="N58" s="25">
        <v>12</v>
      </c>
      <c r="O58" s="25">
        <v>13</v>
      </c>
      <c r="P58" s="25">
        <v>14</v>
      </c>
      <c r="Q58" s="25">
        <v>15</v>
      </c>
      <c r="R58" s="72">
        <v>16</v>
      </c>
    </row>
    <row r="59" spans="1:29">
      <c r="A59" s="66" t="s">
        <v>47</v>
      </c>
      <c r="B59" s="2"/>
      <c r="C59" s="90">
        <v>0</v>
      </c>
      <c r="D59" s="84">
        <f ca="1">C63</f>
        <v>211.86440677966101</v>
      </c>
      <c r="E59" s="84">
        <f t="shared" ref="E59:R59" ca="1" si="10">D63</f>
        <v>199.0734463276836</v>
      </c>
      <c r="F59" s="84">
        <f t="shared" ca="1" si="10"/>
        <v>186.28248587570619</v>
      </c>
      <c r="G59" s="84">
        <f t="shared" ca="1" si="10"/>
        <v>173.49152542372877</v>
      </c>
      <c r="H59" s="84">
        <f t="shared" ca="1" si="10"/>
        <v>160.70056497175136</v>
      </c>
      <c r="I59" s="84">
        <f t="shared" ca="1" si="10"/>
        <v>147.90960451977395</v>
      </c>
      <c r="J59" s="84">
        <f t="shared" ca="1" si="10"/>
        <v>135.11864406779654</v>
      </c>
      <c r="K59" s="84">
        <f t="shared" ca="1" si="10"/>
        <v>122.32768361581914</v>
      </c>
      <c r="L59" s="84">
        <f t="shared" ca="1" si="10"/>
        <v>109.53672316384174</v>
      </c>
      <c r="M59" s="84">
        <f t="shared" ca="1" si="10"/>
        <v>96.745762711864344</v>
      </c>
      <c r="N59" s="84">
        <f t="shared" ca="1" si="10"/>
        <v>83.954802259886947</v>
      </c>
      <c r="O59" s="84">
        <f t="shared" ca="1" si="10"/>
        <v>71.163841807909549</v>
      </c>
      <c r="P59" s="84">
        <f t="shared" ca="1" si="10"/>
        <v>58.372881355932151</v>
      </c>
      <c r="Q59" s="84">
        <f t="shared" ca="1" si="10"/>
        <v>45.581920903954753</v>
      </c>
      <c r="R59" s="85">
        <f t="shared" ca="1" si="10"/>
        <v>32.790960451977355</v>
      </c>
    </row>
    <row r="60" spans="1:29">
      <c r="A60" s="66" t="s">
        <v>48</v>
      </c>
      <c r="B60" s="2"/>
      <c r="C60" s="90">
        <f>B18</f>
        <v>200</v>
      </c>
      <c r="D60" s="84">
        <f>C18</f>
        <v>0</v>
      </c>
      <c r="E60" s="84">
        <f t="shared" ref="E60:R60" si="11">D18</f>
        <v>0</v>
      </c>
      <c r="F60" s="84">
        <f t="shared" si="11"/>
        <v>0</v>
      </c>
      <c r="G60" s="84">
        <f t="shared" si="11"/>
        <v>0</v>
      </c>
      <c r="H60" s="84">
        <f t="shared" si="11"/>
        <v>0</v>
      </c>
      <c r="I60" s="84">
        <f t="shared" si="11"/>
        <v>0</v>
      </c>
      <c r="J60" s="84">
        <f t="shared" si="11"/>
        <v>0</v>
      </c>
      <c r="K60" s="84">
        <f t="shared" si="11"/>
        <v>0</v>
      </c>
      <c r="L60" s="84">
        <f t="shared" si="11"/>
        <v>0</v>
      </c>
      <c r="M60" s="84">
        <f t="shared" si="11"/>
        <v>0</v>
      </c>
      <c r="N60" s="84">
        <f t="shared" si="11"/>
        <v>0</v>
      </c>
      <c r="O60" s="84">
        <f t="shared" si="11"/>
        <v>0</v>
      </c>
      <c r="P60" s="84">
        <f t="shared" si="11"/>
        <v>0</v>
      </c>
      <c r="Q60" s="84">
        <f t="shared" si="11"/>
        <v>0</v>
      </c>
      <c r="R60" s="85">
        <f t="shared" si="11"/>
        <v>0</v>
      </c>
    </row>
    <row r="61" spans="1:29">
      <c r="A61" s="66" t="s">
        <v>49</v>
      </c>
      <c r="B61" s="2"/>
      <c r="C61" s="90">
        <f ca="1">IF(C39=0,C74,0)</f>
        <v>11.864406779661016</v>
      </c>
      <c r="D61" s="84">
        <f>IF(D39=0,D74,0)</f>
        <v>0</v>
      </c>
      <c r="E61" s="84">
        <f t="shared" ref="E61:R61" si="12">IF(E39=0,E74,0)</f>
        <v>0</v>
      </c>
      <c r="F61" s="84">
        <f t="shared" si="12"/>
        <v>0</v>
      </c>
      <c r="G61" s="84">
        <f t="shared" si="12"/>
        <v>0</v>
      </c>
      <c r="H61" s="84">
        <f t="shared" si="12"/>
        <v>0</v>
      </c>
      <c r="I61" s="84">
        <f t="shared" si="12"/>
        <v>0</v>
      </c>
      <c r="J61" s="84">
        <f t="shared" si="12"/>
        <v>0</v>
      </c>
      <c r="K61" s="84">
        <f t="shared" si="12"/>
        <v>0</v>
      </c>
      <c r="L61" s="84">
        <f t="shared" si="12"/>
        <v>0</v>
      </c>
      <c r="M61" s="84">
        <f t="shared" si="12"/>
        <v>0</v>
      </c>
      <c r="N61" s="84">
        <f t="shared" si="12"/>
        <v>0</v>
      </c>
      <c r="O61" s="84">
        <f t="shared" si="12"/>
        <v>0</v>
      </c>
      <c r="P61" s="84">
        <f t="shared" si="12"/>
        <v>0</v>
      </c>
      <c r="Q61" s="84">
        <f t="shared" si="12"/>
        <v>0</v>
      </c>
      <c r="R61" s="85">
        <f t="shared" si="12"/>
        <v>0</v>
      </c>
    </row>
    <row r="62" spans="1:29">
      <c r="A62" s="66" t="s">
        <v>50</v>
      </c>
      <c r="B62" s="2"/>
      <c r="C62" s="90">
        <f>-IF(C39=0,0,(C59+C60+C61-$B$18*$B$25)/Project_life)</f>
        <v>0</v>
      </c>
      <c r="D62" s="84">
        <f ca="1">-IF(D39=0,0,($C$63-$B$18*$B$25)/Project_life)</f>
        <v>-12.790960451977401</v>
      </c>
      <c r="E62" s="84">
        <f ca="1">-IF(E39=0,0,($C$63-$B$18*$B$25)/Project_life)</f>
        <v>-12.790960451977401</v>
      </c>
      <c r="F62" s="84">
        <f ca="1">-IF(F39=0,0,($C$63-$B$18*$B$25)/Project_life)</f>
        <v>-12.790960451977401</v>
      </c>
      <c r="G62" s="84">
        <f ca="1">-IF(G39=0,0,($C$63-$B$18*$B$25)/Project_life)</f>
        <v>-12.790960451977401</v>
      </c>
      <c r="H62" s="84">
        <f ca="1">-IF(H39=0,0,($C$63-$B$18*$B$25)/Project_life)</f>
        <v>-12.790960451977401</v>
      </c>
      <c r="I62" s="84">
        <f ca="1">-IF(I39=0,0,($C$63-$B$18*$B$25)/Project_life)</f>
        <v>-12.790960451977401</v>
      </c>
      <c r="J62" s="84">
        <f ca="1">-IF(J39=0,0,($C$63-$B$18*$B$25)/Project_life)</f>
        <v>-12.790960451977401</v>
      </c>
      <c r="K62" s="84">
        <f ca="1">-IF(K39=0,0,($C$63-$B$18*$B$25)/Project_life)</f>
        <v>-12.790960451977401</v>
      </c>
      <c r="L62" s="84">
        <f ca="1">-IF(L39=0,0,($C$63-$B$18*$B$25)/Project_life)</f>
        <v>-12.790960451977401</v>
      </c>
      <c r="M62" s="84">
        <f ca="1">-IF(M39=0,0,($C$63-$B$18*$B$25)/Project_life)</f>
        <v>-12.790960451977401</v>
      </c>
      <c r="N62" s="84">
        <f ca="1">-IF(N39=0,0,($C$63-$B$18*$B$25)/Project_life)</f>
        <v>-12.790960451977401</v>
      </c>
      <c r="O62" s="84">
        <f ca="1">-IF(O39=0,0,($C$63-$B$18*$B$25)/Project_life)</f>
        <v>-12.790960451977401</v>
      </c>
      <c r="P62" s="84">
        <f ca="1">-IF(P39=0,0,($C$63-$B$18*$B$25)/Project_life)</f>
        <v>-12.790960451977401</v>
      </c>
      <c r="Q62" s="84">
        <f ca="1">-IF(Q39=0,0,($C$63-$B$18*$B$25)/Project_life)</f>
        <v>-12.790960451977401</v>
      </c>
      <c r="R62" s="85">
        <f ca="1">-IF(R39=0,0,($C$63-$B$18*$B$25)/Project_life)</f>
        <v>-12.790960451977401</v>
      </c>
    </row>
    <row r="63" spans="1:29" s="1" customFormat="1">
      <c r="A63" s="88" t="s">
        <v>51</v>
      </c>
      <c r="B63" s="8"/>
      <c r="C63" s="28">
        <f ca="1">SUM(C59:C62)</f>
        <v>211.86440677966101</v>
      </c>
      <c r="D63" s="28">
        <f t="shared" ref="D63:R63" ca="1" si="13">SUM(D59:D62)</f>
        <v>199.0734463276836</v>
      </c>
      <c r="E63" s="28">
        <f t="shared" ref="E63:R63" ca="1" si="14">SUM(E59:E62)</f>
        <v>186.28248587570619</v>
      </c>
      <c r="F63" s="28">
        <f t="shared" ca="1" si="14"/>
        <v>173.49152542372877</v>
      </c>
      <c r="G63" s="28">
        <f t="shared" ca="1" si="14"/>
        <v>160.70056497175136</v>
      </c>
      <c r="H63" s="28">
        <f t="shared" ca="1" si="14"/>
        <v>147.90960451977395</v>
      </c>
      <c r="I63" s="28">
        <f t="shared" ca="1" si="14"/>
        <v>135.11864406779654</v>
      </c>
      <c r="J63" s="28">
        <f t="shared" ca="1" si="14"/>
        <v>122.32768361581914</v>
      </c>
      <c r="K63" s="28">
        <f t="shared" ca="1" si="14"/>
        <v>109.53672316384174</v>
      </c>
      <c r="L63" s="28">
        <f t="shared" ca="1" si="14"/>
        <v>96.745762711864344</v>
      </c>
      <c r="M63" s="28">
        <f t="shared" ca="1" si="14"/>
        <v>83.954802259886947</v>
      </c>
      <c r="N63" s="28">
        <f t="shared" ca="1" si="14"/>
        <v>71.163841807909549</v>
      </c>
      <c r="O63" s="28">
        <f t="shared" ca="1" si="14"/>
        <v>58.372881355932151</v>
      </c>
      <c r="P63" s="28">
        <f t="shared" ca="1" si="14"/>
        <v>45.581920903954753</v>
      </c>
      <c r="Q63" s="28">
        <f t="shared" ca="1" si="14"/>
        <v>32.790960451977355</v>
      </c>
      <c r="R63" s="102">
        <f t="shared" ca="1" si="14"/>
        <v>19.999999999999954</v>
      </c>
      <c r="S63"/>
      <c r="T63"/>
      <c r="U63"/>
      <c r="V63"/>
      <c r="W63"/>
      <c r="X63"/>
      <c r="Y63"/>
      <c r="Z63"/>
      <c r="AA63"/>
      <c r="AB63"/>
      <c r="AC63" s="9"/>
    </row>
    <row r="64" spans="1:29">
      <c r="A64" s="81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61"/>
    </row>
    <row r="65" spans="1:29" ht="21">
      <c r="A65" s="60" t="s">
        <v>52</v>
      </c>
      <c r="B65" s="13"/>
      <c r="C65" s="14" t="s">
        <v>32</v>
      </c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9"/>
    </row>
    <row r="66" spans="1:29">
      <c r="A66" s="88"/>
      <c r="B66" s="32">
        <v>0</v>
      </c>
      <c r="C66" s="25">
        <v>1</v>
      </c>
      <c r="D66" s="25">
        <v>2</v>
      </c>
      <c r="E66" s="25">
        <v>3</v>
      </c>
      <c r="F66" s="25">
        <v>4</v>
      </c>
      <c r="G66" s="25">
        <v>5</v>
      </c>
      <c r="H66" s="25">
        <v>6</v>
      </c>
      <c r="I66" s="25">
        <v>7</v>
      </c>
      <c r="J66" s="25">
        <v>8</v>
      </c>
      <c r="K66" s="25">
        <v>9</v>
      </c>
      <c r="L66" s="25">
        <v>10</v>
      </c>
      <c r="M66" s="25">
        <v>11</v>
      </c>
      <c r="N66" s="25">
        <v>12</v>
      </c>
      <c r="O66" s="25">
        <v>13</v>
      </c>
      <c r="P66" s="25">
        <v>14</v>
      </c>
      <c r="Q66" s="25">
        <v>15</v>
      </c>
      <c r="R66" s="91"/>
    </row>
    <row r="67" spans="1:29">
      <c r="A67" s="66" t="s">
        <v>53</v>
      </c>
      <c r="B67" s="33">
        <f ca="1">C63</f>
        <v>211.86440677966101</v>
      </c>
      <c r="C67" s="48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91"/>
    </row>
    <row r="68" spans="1:29">
      <c r="A68" s="66" t="s">
        <v>54</v>
      </c>
      <c r="B68" s="34">
        <f ca="1">B67*B19</f>
        <v>148.30508474576268</v>
      </c>
      <c r="C68" s="50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1"/>
    </row>
    <row r="69" spans="1:29">
      <c r="A69" s="66" t="s">
        <v>55</v>
      </c>
      <c r="B69" s="34">
        <f ca="1">B67-B68</f>
        <v>63.559322033898326</v>
      </c>
      <c r="C69" s="50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1"/>
    </row>
    <row r="70" spans="1:29">
      <c r="A70" s="66" t="s">
        <v>17</v>
      </c>
      <c r="B70" s="35">
        <f>B20</f>
        <v>12</v>
      </c>
      <c r="C70" s="50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1"/>
    </row>
    <row r="71" spans="1:29">
      <c r="A71" s="66" t="s">
        <v>18</v>
      </c>
      <c r="B71" s="36">
        <f>B21</f>
        <v>0.08</v>
      </c>
      <c r="C71" s="51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91"/>
    </row>
    <row r="72" spans="1:29">
      <c r="A72" s="87"/>
      <c r="B72" s="1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91"/>
      <c r="AC72" s="9"/>
    </row>
    <row r="73" spans="1:29">
      <c r="A73" s="66" t="s">
        <v>56</v>
      </c>
      <c r="B73" s="37"/>
      <c r="C73" s="84">
        <f ca="1">B77</f>
        <v>148.30508474576268</v>
      </c>
      <c r="D73" s="84">
        <f t="shared" ref="D73:Q73" ca="1" si="15">C77</f>
        <v>148.30508474576268</v>
      </c>
      <c r="E73" s="84">
        <f t="shared" ref="E73" ca="1" si="16">D77</f>
        <v>140.49014579509983</v>
      </c>
      <c r="F73" s="84">
        <f t="shared" ref="F73" ca="1" si="17">E77</f>
        <v>132.05001172838394</v>
      </c>
      <c r="G73" s="84">
        <f t="shared" ref="G73" ca="1" si="18">F77</f>
        <v>122.93466693633079</v>
      </c>
      <c r="H73" s="84">
        <f t="shared" ref="H73" ca="1" si="19">G77</f>
        <v>113.09009456091337</v>
      </c>
      <c r="I73" s="84">
        <f t="shared" ref="I73" ca="1" si="20">H77</f>
        <v>102.45795639546257</v>
      </c>
      <c r="J73" s="84">
        <f t="shared" ref="J73" ca="1" si="21">I77</f>
        <v>90.97524717677571</v>
      </c>
      <c r="K73" s="84">
        <f t="shared" ref="K73" ca="1" si="22">J77</f>
        <v>78.573921220593888</v>
      </c>
      <c r="L73" s="84">
        <f t="shared" ref="L73" ca="1" si="23">K77</f>
        <v>65.18048918791753</v>
      </c>
      <c r="M73" s="84">
        <f t="shared" ref="M73" ca="1" si="24">L77</f>
        <v>50.715582592627058</v>
      </c>
      <c r="N73" s="84">
        <f t="shared" ref="N73" ca="1" si="25">M77</f>
        <v>35.093483469713348</v>
      </c>
      <c r="O73" s="84">
        <f t="shared" ref="O73" ca="1" si="26">N77</f>
        <v>18.221616416966548</v>
      </c>
      <c r="P73" s="84">
        <f t="shared" ref="P73" ca="1" si="27">O77</f>
        <v>0</v>
      </c>
      <c r="Q73" s="84">
        <f t="shared" ref="Q73" ca="1" si="28">P77</f>
        <v>0</v>
      </c>
      <c r="R73" s="91"/>
    </row>
    <row r="74" spans="1:29">
      <c r="A74" s="66" t="s">
        <v>57</v>
      </c>
      <c r="B74" s="37"/>
      <c r="C74" s="84">
        <f ca="1">C73*$B$71</f>
        <v>11.864406779661016</v>
      </c>
      <c r="D74" s="84">
        <f ca="1">D73*$B$71</f>
        <v>11.864406779661016</v>
      </c>
      <c r="E74" s="84">
        <f t="shared" ref="E74:Q74" ca="1" si="29">E73*$B$71</f>
        <v>11.239211663607987</v>
      </c>
      <c r="F74" s="84">
        <f t="shared" ca="1" si="29"/>
        <v>10.564000938270715</v>
      </c>
      <c r="G74" s="84">
        <f t="shared" ca="1" si="29"/>
        <v>9.8347733549064635</v>
      </c>
      <c r="H74" s="84">
        <f t="shared" ca="1" si="29"/>
        <v>9.0472075648730694</v>
      </c>
      <c r="I74" s="84">
        <f t="shared" ca="1" si="29"/>
        <v>8.1966365116370064</v>
      </c>
      <c r="J74" s="84">
        <f t="shared" ca="1" si="29"/>
        <v>7.2780197741420567</v>
      </c>
      <c r="K74" s="84">
        <f t="shared" ca="1" si="29"/>
        <v>6.2859136976475112</v>
      </c>
      <c r="L74" s="84">
        <f t="shared" ca="1" si="29"/>
        <v>5.2144391350334027</v>
      </c>
      <c r="M74" s="84">
        <f t="shared" ca="1" si="29"/>
        <v>4.057246607410165</v>
      </c>
      <c r="N74" s="84">
        <f t="shared" ca="1" si="29"/>
        <v>2.8074786775770679</v>
      </c>
      <c r="O74" s="84">
        <f t="shared" ca="1" si="29"/>
        <v>1.4577293133573239</v>
      </c>
      <c r="P74" s="84">
        <f t="shared" ca="1" si="29"/>
        <v>0</v>
      </c>
      <c r="Q74" s="84">
        <f t="shared" ca="1" si="29"/>
        <v>0</v>
      </c>
      <c r="R74" s="91"/>
    </row>
    <row r="75" spans="1:29">
      <c r="A75" s="66" t="s">
        <v>58</v>
      </c>
      <c r="B75" s="37"/>
      <c r="C75" s="29"/>
      <c r="D75" s="84">
        <f ca="1">IFERROR(-PPMT($B$71,C66,$B$70,$B$68),0)</f>
        <v>7.8149389506628566</v>
      </c>
      <c r="E75" s="84">
        <f t="shared" ref="E75:Q75" ca="1" si="30">IFERROR(-PPMT($B$71,D66,$B$70,$B$68),0)</f>
        <v>8.4401340667158848</v>
      </c>
      <c r="F75" s="84">
        <f t="shared" ca="1" si="30"/>
        <v>9.1153447920531558</v>
      </c>
      <c r="G75" s="84">
        <f t="shared" ca="1" si="30"/>
        <v>9.8445723754174086</v>
      </c>
      <c r="H75" s="84">
        <f t="shared" ca="1" si="30"/>
        <v>10.632138165450799</v>
      </c>
      <c r="I75" s="84">
        <f t="shared" ca="1" si="30"/>
        <v>11.482709218686864</v>
      </c>
      <c r="J75" s="84">
        <f t="shared" ca="1" si="30"/>
        <v>12.401325956181816</v>
      </c>
      <c r="K75" s="84">
        <f t="shared" ca="1" si="30"/>
        <v>13.393432032676358</v>
      </c>
      <c r="L75" s="84">
        <f t="shared" ca="1" si="30"/>
        <v>14.464906595290469</v>
      </c>
      <c r="M75" s="84">
        <f t="shared" ca="1" si="30"/>
        <v>15.622099122913706</v>
      </c>
      <c r="N75" s="84">
        <f t="shared" ca="1" si="30"/>
        <v>16.871867052746801</v>
      </c>
      <c r="O75" s="84">
        <f t="shared" ca="1" si="30"/>
        <v>18.221616416966544</v>
      </c>
      <c r="P75" s="84">
        <f t="shared" ca="1" si="30"/>
        <v>0</v>
      </c>
      <c r="Q75" s="84">
        <f t="shared" ca="1" si="30"/>
        <v>0</v>
      </c>
      <c r="R75" s="91"/>
    </row>
    <row r="76" spans="1:29">
      <c r="A76" s="66" t="s">
        <v>59</v>
      </c>
      <c r="B76" s="37"/>
      <c r="C76" s="29"/>
      <c r="D76" s="84">
        <f ca="1">IF(D66&gt;$B$70,0,-PMT($B$71,$B$70,$B$68))</f>
        <v>19.67934573032387</v>
      </c>
      <c r="E76" s="84">
        <f t="shared" ref="E76:Q76" ca="1" si="31">IF(E66&gt;$B$70,0,-PMT($B$71,$B$70,$B$68))</f>
        <v>19.67934573032387</v>
      </c>
      <c r="F76" s="84">
        <f t="shared" ca="1" si="31"/>
        <v>19.67934573032387</v>
      </c>
      <c r="G76" s="84">
        <f t="shared" ca="1" si="31"/>
        <v>19.67934573032387</v>
      </c>
      <c r="H76" s="84">
        <f t="shared" ca="1" si="31"/>
        <v>19.67934573032387</v>
      </c>
      <c r="I76" s="84">
        <f t="shared" ca="1" si="31"/>
        <v>19.67934573032387</v>
      </c>
      <c r="J76" s="84">
        <f t="shared" ca="1" si="31"/>
        <v>19.67934573032387</v>
      </c>
      <c r="K76" s="84">
        <f t="shared" ca="1" si="31"/>
        <v>19.67934573032387</v>
      </c>
      <c r="L76" s="84">
        <f t="shared" ca="1" si="31"/>
        <v>19.67934573032387</v>
      </c>
      <c r="M76" s="84">
        <f t="shared" ca="1" si="31"/>
        <v>19.67934573032387</v>
      </c>
      <c r="N76" s="84">
        <f t="shared" ca="1" si="31"/>
        <v>19.67934573032387</v>
      </c>
      <c r="O76" s="84">
        <f t="shared" si="31"/>
        <v>0</v>
      </c>
      <c r="P76" s="84">
        <f t="shared" si="31"/>
        <v>0</v>
      </c>
      <c r="Q76" s="84">
        <f t="shared" si="31"/>
        <v>0</v>
      </c>
      <c r="R76" s="91"/>
    </row>
    <row r="77" spans="1:29" s="1" customFormat="1">
      <c r="A77" s="88" t="s">
        <v>60</v>
      </c>
      <c r="B77" s="38">
        <f ca="1">B68</f>
        <v>148.30508474576268</v>
      </c>
      <c r="C77" s="28">
        <f ca="1">C73-C75</f>
        <v>148.30508474576268</v>
      </c>
      <c r="D77" s="28">
        <f t="shared" ref="D77:Q77" ca="1" si="32">D73-D75</f>
        <v>140.49014579509983</v>
      </c>
      <c r="E77" s="28">
        <f t="shared" ref="E77:Q77" ca="1" si="33">E73-E75</f>
        <v>132.05001172838394</v>
      </c>
      <c r="F77" s="28">
        <f t="shared" ca="1" si="33"/>
        <v>122.93466693633079</v>
      </c>
      <c r="G77" s="28">
        <f t="shared" ca="1" si="33"/>
        <v>113.09009456091337</v>
      </c>
      <c r="H77" s="28">
        <f t="shared" ca="1" si="33"/>
        <v>102.45795639546257</v>
      </c>
      <c r="I77" s="28">
        <f t="shared" ca="1" si="33"/>
        <v>90.97524717677571</v>
      </c>
      <c r="J77" s="28">
        <f t="shared" ca="1" si="33"/>
        <v>78.573921220593888</v>
      </c>
      <c r="K77" s="28">
        <f t="shared" ca="1" si="33"/>
        <v>65.18048918791753</v>
      </c>
      <c r="L77" s="28">
        <f t="shared" ca="1" si="33"/>
        <v>50.715582592627058</v>
      </c>
      <c r="M77" s="28">
        <f t="shared" ca="1" si="33"/>
        <v>35.093483469713348</v>
      </c>
      <c r="N77" s="28">
        <f t="shared" ca="1" si="33"/>
        <v>18.221616416966548</v>
      </c>
      <c r="O77" s="28">
        <f t="shared" ca="1" si="33"/>
        <v>0</v>
      </c>
      <c r="P77" s="28">
        <f t="shared" ca="1" si="33"/>
        <v>0</v>
      </c>
      <c r="Q77" s="28">
        <f t="shared" ca="1" si="33"/>
        <v>0</v>
      </c>
      <c r="R77" s="91"/>
      <c r="S77"/>
      <c r="T77"/>
      <c r="U77"/>
      <c r="V77"/>
      <c r="W77"/>
      <c r="X77"/>
      <c r="Y77"/>
      <c r="Z77"/>
      <c r="AA77"/>
      <c r="AB77"/>
      <c r="AC77" s="9"/>
    </row>
    <row r="78" spans="1:29">
      <c r="A78" s="81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61"/>
    </row>
    <row r="79" spans="1:29" ht="21">
      <c r="A79" s="60" t="s">
        <v>61</v>
      </c>
      <c r="B79" s="13"/>
      <c r="C79" s="14" t="s">
        <v>32</v>
      </c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9"/>
    </row>
    <row r="80" spans="1:29">
      <c r="A80" s="93"/>
      <c r="B80" s="32">
        <v>0</v>
      </c>
      <c r="C80" s="25">
        <v>1</v>
      </c>
      <c r="D80" s="25">
        <v>2</v>
      </c>
      <c r="E80" s="25">
        <v>3</v>
      </c>
      <c r="F80" s="25">
        <v>4</v>
      </c>
      <c r="G80" s="25">
        <v>5</v>
      </c>
      <c r="H80" s="25">
        <v>6</v>
      </c>
      <c r="I80" s="25">
        <v>7</v>
      </c>
      <c r="J80" s="25">
        <v>8</v>
      </c>
      <c r="K80" s="25">
        <v>9</v>
      </c>
      <c r="L80" s="25">
        <v>10</v>
      </c>
      <c r="M80" s="25">
        <v>11</v>
      </c>
      <c r="N80" s="25">
        <v>12</v>
      </c>
      <c r="O80" s="25">
        <v>13</v>
      </c>
      <c r="P80" s="25">
        <v>14</v>
      </c>
      <c r="Q80" s="25">
        <v>15</v>
      </c>
      <c r="R80" s="72">
        <v>16</v>
      </c>
    </row>
    <row r="81" spans="1:29" s="23" customFormat="1">
      <c r="A81" s="73" t="s">
        <v>62</v>
      </c>
      <c r="B81" s="39"/>
      <c r="C81" s="94">
        <v>0</v>
      </c>
      <c r="D81" s="94">
        <v>1</v>
      </c>
      <c r="E81" s="94">
        <v>1</v>
      </c>
      <c r="F81" s="94">
        <v>1</v>
      </c>
      <c r="G81" s="94">
        <v>1</v>
      </c>
      <c r="H81" s="94">
        <v>1</v>
      </c>
      <c r="I81" s="94">
        <v>1</v>
      </c>
      <c r="J81" s="94">
        <v>1</v>
      </c>
      <c r="K81" s="94">
        <v>1</v>
      </c>
      <c r="L81" s="94">
        <v>1</v>
      </c>
      <c r="M81" s="94">
        <v>1</v>
      </c>
      <c r="N81" s="94">
        <v>1</v>
      </c>
      <c r="O81" s="94">
        <v>1</v>
      </c>
      <c r="P81" s="94">
        <v>1</v>
      </c>
      <c r="Q81" s="94">
        <v>1</v>
      </c>
      <c r="R81" s="95">
        <v>1</v>
      </c>
    </row>
    <row r="82" spans="1:29">
      <c r="A82" s="66" t="s">
        <v>43</v>
      </c>
      <c r="B82" s="37"/>
      <c r="C82" s="84">
        <f t="shared" ref="C82:R82" si="34">C42</f>
        <v>0</v>
      </c>
      <c r="D82" s="84">
        <f t="shared" si="34"/>
        <v>30.66</v>
      </c>
      <c r="E82" s="84">
        <f t="shared" si="34"/>
        <v>31.116834000000001</v>
      </c>
      <c r="F82" s="84">
        <f t="shared" si="34"/>
        <v>31.580474826600003</v>
      </c>
      <c r="G82" s="84">
        <f t="shared" si="34"/>
        <v>32.051023901516338</v>
      </c>
      <c r="H82" s="84">
        <f t="shared" si="34"/>
        <v>32.528584157648936</v>
      </c>
      <c r="I82" s="84">
        <f t="shared" si="34"/>
        <v>33.013260061597904</v>
      </c>
      <c r="J82" s="84">
        <f t="shared" si="34"/>
        <v>33.505157636515719</v>
      </c>
      <c r="K82" s="84">
        <f t="shared" si="34"/>
        <v>34.004384485299788</v>
      </c>
      <c r="L82" s="84">
        <f t="shared" si="34"/>
        <v>34.511049814130757</v>
      </c>
      <c r="M82" s="84">
        <f t="shared" si="34"/>
        <v>35.025264456361306</v>
      </c>
      <c r="N82" s="84">
        <f t="shared" si="34"/>
        <v>35.547140896761093</v>
      </c>
      <c r="O82" s="84">
        <f t="shared" si="34"/>
        <v>36.076793296122823</v>
      </c>
      <c r="P82" s="84">
        <f t="shared" si="34"/>
        <v>36.614337516235068</v>
      </c>
      <c r="Q82" s="84">
        <f t="shared" si="34"/>
        <v>37.159891145226965</v>
      </c>
      <c r="R82" s="85">
        <f t="shared" si="34"/>
        <v>37.713573523290862</v>
      </c>
    </row>
    <row r="83" spans="1:29">
      <c r="A83" s="66" t="s">
        <v>63</v>
      </c>
      <c r="B83" s="37"/>
      <c r="C83" s="84">
        <f>-C49</f>
        <v>0</v>
      </c>
      <c r="D83" s="84">
        <f t="shared" ref="D83:R83" si="35">-D49</f>
        <v>-0.54379999999999995</v>
      </c>
      <c r="E83" s="84">
        <f t="shared" si="35"/>
        <v>-0.55988842999999999</v>
      </c>
      <c r="F83" s="84">
        <f t="shared" si="35"/>
        <v>-0.57645390748549996</v>
      </c>
      <c r="G83" s="84">
        <f t="shared" si="35"/>
        <v>-0.59351060458651472</v>
      </c>
      <c r="H83" s="84">
        <f t="shared" si="35"/>
        <v>-0.61107311513548956</v>
      </c>
      <c r="I83" s="84">
        <f t="shared" si="35"/>
        <v>-0.62915646723235641</v>
      </c>
      <c r="J83" s="84">
        <f t="shared" si="35"/>
        <v>-0.647776136184403</v>
      </c>
      <c r="K83" s="84">
        <f t="shared" si="35"/>
        <v>-0.66694805783214761</v>
      </c>
      <c r="L83" s="84">
        <f t="shared" si="35"/>
        <v>-0.6866886422727454</v>
      </c>
      <c r="M83" s="84">
        <f t="shared" si="35"/>
        <v>-0.70701478799279627</v>
      </c>
      <c r="N83" s="84">
        <f t="shared" si="35"/>
        <v>-0.72794389642277757</v>
      </c>
      <c r="O83" s="84">
        <f t="shared" si="35"/>
        <v>-0.74949388692569474</v>
      </c>
      <c r="P83" s="84">
        <f t="shared" si="35"/>
        <v>-0.77168321223291358</v>
      </c>
      <c r="Q83" s="84">
        <f t="shared" si="35"/>
        <v>-0.79453087434053038</v>
      </c>
      <c r="R83" s="85">
        <f t="shared" si="35"/>
        <v>-0.81805644088003049</v>
      </c>
    </row>
    <row r="84" spans="1:29" s="1" customFormat="1">
      <c r="A84" s="88" t="s">
        <v>64</v>
      </c>
      <c r="B84" s="40"/>
      <c r="C84" s="28">
        <f t="shared" ref="C84:R84" si="36">SUM(C82:C83)</f>
        <v>0</v>
      </c>
      <c r="D84" s="28">
        <f t="shared" si="36"/>
        <v>30.116199999999999</v>
      </c>
      <c r="E84" s="28">
        <f t="shared" si="36"/>
        <v>30.55694557</v>
      </c>
      <c r="F84" s="28">
        <f t="shared" si="36"/>
        <v>31.004020919114502</v>
      </c>
      <c r="G84" s="28">
        <f t="shared" si="36"/>
        <v>31.457513296929822</v>
      </c>
      <c r="H84" s="28">
        <f t="shared" si="36"/>
        <v>31.917511042513446</v>
      </c>
      <c r="I84" s="28">
        <f t="shared" si="36"/>
        <v>32.384103594365548</v>
      </c>
      <c r="J84" s="28">
        <f t="shared" si="36"/>
        <v>32.857381500331314</v>
      </c>
      <c r="K84" s="28">
        <f t="shared" si="36"/>
        <v>33.337436427467637</v>
      </c>
      <c r="L84" s="28">
        <f t="shared" si="36"/>
        <v>33.824361171858015</v>
      </c>
      <c r="M84" s="28">
        <f t="shared" si="36"/>
        <v>34.318249668368509</v>
      </c>
      <c r="N84" s="28">
        <f t="shared" si="36"/>
        <v>34.819197000338313</v>
      </c>
      <c r="O84" s="28">
        <f t="shared" si="36"/>
        <v>35.327299409197131</v>
      </c>
      <c r="P84" s="28">
        <f t="shared" si="36"/>
        <v>35.842654304002153</v>
      </c>
      <c r="Q84" s="28">
        <f t="shared" si="36"/>
        <v>36.365360270886434</v>
      </c>
      <c r="R84" s="80">
        <f t="shared" si="36"/>
        <v>36.895517082410834</v>
      </c>
      <c r="AC84" s="9"/>
    </row>
    <row r="85" spans="1:29">
      <c r="A85" s="66" t="s">
        <v>50</v>
      </c>
      <c r="B85" s="37"/>
      <c r="C85" s="84">
        <f>C62</f>
        <v>0</v>
      </c>
      <c r="D85" s="84">
        <f t="shared" ref="D85:R85" ca="1" si="37">D62</f>
        <v>-12.790960451977401</v>
      </c>
      <c r="E85" s="84">
        <f t="shared" ca="1" si="37"/>
        <v>-12.790960451977401</v>
      </c>
      <c r="F85" s="84">
        <f t="shared" ca="1" si="37"/>
        <v>-12.790960451977401</v>
      </c>
      <c r="G85" s="84">
        <f t="shared" ca="1" si="37"/>
        <v>-12.790960451977401</v>
      </c>
      <c r="H85" s="84">
        <f t="shared" ca="1" si="37"/>
        <v>-12.790960451977401</v>
      </c>
      <c r="I85" s="84">
        <f t="shared" ca="1" si="37"/>
        <v>-12.790960451977401</v>
      </c>
      <c r="J85" s="84">
        <f t="shared" ca="1" si="37"/>
        <v>-12.790960451977401</v>
      </c>
      <c r="K85" s="84">
        <f t="shared" ca="1" si="37"/>
        <v>-12.790960451977401</v>
      </c>
      <c r="L85" s="84">
        <f t="shared" ca="1" si="37"/>
        <v>-12.790960451977401</v>
      </c>
      <c r="M85" s="84">
        <f t="shared" ca="1" si="37"/>
        <v>-12.790960451977401</v>
      </c>
      <c r="N85" s="84">
        <f t="shared" ca="1" si="37"/>
        <v>-12.790960451977401</v>
      </c>
      <c r="O85" s="84">
        <f t="shared" ca="1" si="37"/>
        <v>-12.790960451977401</v>
      </c>
      <c r="P85" s="84">
        <f t="shared" ca="1" si="37"/>
        <v>-12.790960451977401</v>
      </c>
      <c r="Q85" s="84">
        <f t="shared" ca="1" si="37"/>
        <v>-12.790960451977401</v>
      </c>
      <c r="R85" s="85">
        <f t="shared" ca="1" si="37"/>
        <v>-12.790960451977401</v>
      </c>
    </row>
    <row r="86" spans="1:29">
      <c r="A86" s="66" t="s">
        <v>57</v>
      </c>
      <c r="B86" s="37"/>
      <c r="C86" s="84">
        <f ca="1">-C74*C81</f>
        <v>0</v>
      </c>
      <c r="D86" s="84">
        <f t="shared" ref="D86:R86" ca="1" si="38">-D74*D81</f>
        <v>-11.864406779661016</v>
      </c>
      <c r="E86" s="84">
        <f t="shared" ca="1" si="38"/>
        <v>-11.239211663607987</v>
      </c>
      <c r="F86" s="84">
        <f t="shared" ca="1" si="38"/>
        <v>-10.564000938270715</v>
      </c>
      <c r="G86" s="84">
        <f t="shared" ca="1" si="38"/>
        <v>-9.8347733549064635</v>
      </c>
      <c r="H86" s="84">
        <f t="shared" ca="1" si="38"/>
        <v>-9.0472075648730694</v>
      </c>
      <c r="I86" s="84">
        <f t="shared" ca="1" si="38"/>
        <v>-8.1966365116370064</v>
      </c>
      <c r="J86" s="84">
        <f t="shared" ca="1" si="38"/>
        <v>-7.2780197741420567</v>
      </c>
      <c r="K86" s="84">
        <f t="shared" ca="1" si="38"/>
        <v>-6.2859136976475112</v>
      </c>
      <c r="L86" s="84">
        <f t="shared" ca="1" si="38"/>
        <v>-5.2144391350334027</v>
      </c>
      <c r="M86" s="84">
        <f t="shared" ca="1" si="38"/>
        <v>-4.057246607410165</v>
      </c>
      <c r="N86" s="84">
        <f t="shared" ca="1" si="38"/>
        <v>-2.8074786775770679</v>
      </c>
      <c r="O86" s="84">
        <f t="shared" ca="1" si="38"/>
        <v>-1.4577293133573239</v>
      </c>
      <c r="P86" s="84">
        <f t="shared" ca="1" si="38"/>
        <v>0</v>
      </c>
      <c r="Q86" s="84">
        <f t="shared" ca="1" si="38"/>
        <v>0</v>
      </c>
      <c r="R86" s="85">
        <f t="shared" si="38"/>
        <v>0</v>
      </c>
    </row>
    <row r="87" spans="1:29" s="1" customFormat="1">
      <c r="A87" s="88" t="s">
        <v>65</v>
      </c>
      <c r="B87" s="40"/>
      <c r="C87" s="28">
        <f ca="1">SUM(C84:C86)</f>
        <v>0</v>
      </c>
      <c r="D87" s="28">
        <f t="shared" ref="D87:R87" ca="1" si="39">SUM(D84:D86)</f>
        <v>5.4608327683615823</v>
      </c>
      <c r="E87" s="28">
        <f t="shared" ca="1" si="39"/>
        <v>6.5267734544146112</v>
      </c>
      <c r="F87" s="28">
        <f t="shared" ca="1" si="39"/>
        <v>7.6490595288663865</v>
      </c>
      <c r="G87" s="28">
        <f t="shared" ca="1" si="39"/>
        <v>8.8317794900459567</v>
      </c>
      <c r="H87" s="28">
        <f t="shared" ca="1" si="39"/>
        <v>10.079343025662975</v>
      </c>
      <c r="I87" s="28">
        <f t="shared" ca="1" si="39"/>
        <v>11.396506630751141</v>
      </c>
      <c r="J87" s="28">
        <f t="shared" ca="1" si="39"/>
        <v>12.788401274211857</v>
      </c>
      <c r="K87" s="28">
        <f t="shared" ca="1" si="39"/>
        <v>14.260562277842723</v>
      </c>
      <c r="L87" s="28">
        <f t="shared" ca="1" si="39"/>
        <v>15.818961584847212</v>
      </c>
      <c r="M87" s="28">
        <f t="shared" ca="1" si="39"/>
        <v>17.470042608980943</v>
      </c>
      <c r="N87" s="28">
        <f t="shared" ca="1" si="39"/>
        <v>19.220757870783842</v>
      </c>
      <c r="O87" s="28">
        <f t="shared" ca="1" si="39"/>
        <v>21.078609643862407</v>
      </c>
      <c r="P87" s="28">
        <f t="shared" ca="1" si="39"/>
        <v>23.051693852024751</v>
      </c>
      <c r="Q87" s="28">
        <f t="shared" ca="1" si="39"/>
        <v>23.574399818909033</v>
      </c>
      <c r="R87" s="80">
        <f t="shared" ca="1" si="39"/>
        <v>24.104556630433432</v>
      </c>
      <c r="AC87" s="9"/>
    </row>
    <row r="88" spans="1:29">
      <c r="A88" s="66" t="s">
        <v>66</v>
      </c>
      <c r="B88" s="37"/>
      <c r="C88" s="84">
        <f ca="1">-IF(C87&gt;0,C87*Tax_rate,0)</f>
        <v>0</v>
      </c>
      <c r="D88" s="84">
        <f ca="1">-IF(D87&gt;0,D87*Tax_rate,0)</f>
        <v>-1.3652081920903956</v>
      </c>
      <c r="E88" s="84">
        <f ca="1">-IF(E87&gt;0,E87*Tax_rate,0)</f>
        <v>-1.6316933636036528</v>
      </c>
      <c r="F88" s="84">
        <f ca="1">-IF(F87&gt;0,F87*Tax_rate,0)</f>
        <v>-1.9122648822165966</v>
      </c>
      <c r="G88" s="84">
        <f ca="1">-IF(G87&gt;0,G87*Tax_rate,0)</f>
        <v>-2.2079448725114892</v>
      </c>
      <c r="H88" s="84">
        <f ca="1">-IF(H87&gt;0,H87*Tax_rate,0)</f>
        <v>-2.5198357564157439</v>
      </c>
      <c r="I88" s="84">
        <f ca="1">-IF(I87&gt;0,I87*Tax_rate,0)</f>
        <v>-2.8491266576877852</v>
      </c>
      <c r="J88" s="84">
        <f ca="1">-IF(J87&gt;0,J87*Tax_rate,0)</f>
        <v>-3.1971003185529643</v>
      </c>
      <c r="K88" s="84">
        <f ca="1">-IF(K87&gt;0,K87*Tax_rate,0)</f>
        <v>-3.5651405694606808</v>
      </c>
      <c r="L88" s="84">
        <f ca="1">-IF(L87&gt;0,L87*Tax_rate,0)</f>
        <v>-3.9547403962118031</v>
      </c>
      <c r="M88" s="84">
        <f ca="1">-IF(M87&gt;0,M87*Tax_rate,0)</f>
        <v>-4.3675106522452358</v>
      </c>
      <c r="N88" s="84">
        <f ca="1">-IF(N87&gt;0,N87*Tax_rate,0)</f>
        <v>-4.8051894676959606</v>
      </c>
      <c r="O88" s="84">
        <f ca="1">-IF(O87&gt;0,O87*Tax_rate,0)</f>
        <v>-5.2696524109656018</v>
      </c>
      <c r="P88" s="84">
        <f ca="1">-IF(P87&gt;0,P87*Tax_rate,0)</f>
        <v>-5.7629234630061879</v>
      </c>
      <c r="Q88" s="84">
        <f ca="1">-IF(Q87&gt;0,Q87*Tax_rate,0)</f>
        <v>-5.8935999547272582</v>
      </c>
      <c r="R88" s="85">
        <f ca="1">-IF(R87&gt;0,R87*Tax_rate,0)</f>
        <v>-6.0261391576083581</v>
      </c>
    </row>
    <row r="89" spans="1:29" s="1" customFormat="1">
      <c r="A89" s="88" t="s">
        <v>67</v>
      </c>
      <c r="B89" s="40"/>
      <c r="C89" s="28">
        <f ca="1">SUM(C87:C88)</f>
        <v>0</v>
      </c>
      <c r="D89" s="28">
        <f t="shared" ref="D89:R89" ca="1" si="40">SUM(D87:D88)</f>
        <v>4.0956245762711863</v>
      </c>
      <c r="E89" s="28">
        <f t="shared" ca="1" si="40"/>
        <v>4.8950800908109589</v>
      </c>
      <c r="F89" s="28">
        <f t="shared" ca="1" si="40"/>
        <v>5.7367946466497894</v>
      </c>
      <c r="G89" s="28">
        <f t="shared" ca="1" si="40"/>
        <v>6.6238346175344676</v>
      </c>
      <c r="H89" s="28">
        <f t="shared" ca="1" si="40"/>
        <v>7.5595072692472316</v>
      </c>
      <c r="I89" s="28">
        <f t="shared" ca="1" si="40"/>
        <v>8.5473799730633555</v>
      </c>
      <c r="J89" s="28">
        <f t="shared" ca="1" si="40"/>
        <v>9.5913009556588928</v>
      </c>
      <c r="K89" s="28">
        <f t="shared" ca="1" si="40"/>
        <v>10.695421708382042</v>
      </c>
      <c r="L89" s="28">
        <f t="shared" ca="1" si="40"/>
        <v>11.864221188635408</v>
      </c>
      <c r="M89" s="28">
        <f t="shared" ca="1" si="40"/>
        <v>13.102531956735707</v>
      </c>
      <c r="N89" s="28">
        <f t="shared" ca="1" si="40"/>
        <v>14.415568403087882</v>
      </c>
      <c r="O89" s="28">
        <f t="shared" ca="1" si="40"/>
        <v>15.808957232896805</v>
      </c>
      <c r="P89" s="28">
        <f t="shared" ca="1" si="40"/>
        <v>17.288770389018563</v>
      </c>
      <c r="Q89" s="28">
        <f t="shared" ca="1" si="40"/>
        <v>17.680799864181775</v>
      </c>
      <c r="R89" s="80">
        <f t="shared" ca="1" si="40"/>
        <v>18.078417472825073</v>
      </c>
      <c r="AC89" s="9"/>
    </row>
    <row r="90" spans="1:29">
      <c r="A90" s="66" t="s">
        <v>68</v>
      </c>
      <c r="B90" s="37"/>
      <c r="C90" s="84">
        <f>C85</f>
        <v>0</v>
      </c>
      <c r="D90" s="84">
        <f t="shared" ref="D90:R90" ca="1" si="41">-D85</f>
        <v>12.790960451977401</v>
      </c>
      <c r="E90" s="84">
        <f t="shared" ca="1" si="41"/>
        <v>12.790960451977401</v>
      </c>
      <c r="F90" s="84">
        <f t="shared" ca="1" si="41"/>
        <v>12.790960451977401</v>
      </c>
      <c r="G90" s="84">
        <f t="shared" ca="1" si="41"/>
        <v>12.790960451977401</v>
      </c>
      <c r="H90" s="84">
        <f t="shared" ca="1" si="41"/>
        <v>12.790960451977401</v>
      </c>
      <c r="I90" s="84">
        <f t="shared" ca="1" si="41"/>
        <v>12.790960451977401</v>
      </c>
      <c r="J90" s="84">
        <f t="shared" ca="1" si="41"/>
        <v>12.790960451977401</v>
      </c>
      <c r="K90" s="84">
        <f t="shared" ca="1" si="41"/>
        <v>12.790960451977401</v>
      </c>
      <c r="L90" s="84">
        <f t="shared" ca="1" si="41"/>
        <v>12.790960451977401</v>
      </c>
      <c r="M90" s="84">
        <f t="shared" ca="1" si="41"/>
        <v>12.790960451977401</v>
      </c>
      <c r="N90" s="84">
        <f t="shared" ca="1" si="41"/>
        <v>12.790960451977401</v>
      </c>
      <c r="O90" s="84">
        <f t="shared" ca="1" si="41"/>
        <v>12.790960451977401</v>
      </c>
      <c r="P90" s="84">
        <f t="shared" ca="1" si="41"/>
        <v>12.790960451977401</v>
      </c>
      <c r="Q90" s="84">
        <f t="shared" ca="1" si="41"/>
        <v>12.790960451977401</v>
      </c>
      <c r="R90" s="85">
        <f t="shared" ca="1" si="41"/>
        <v>12.790960451977401</v>
      </c>
    </row>
    <row r="91" spans="1:29">
      <c r="A91" s="66" t="s">
        <v>69</v>
      </c>
      <c r="B91" s="37"/>
      <c r="C91" s="84">
        <f>-C75</f>
        <v>0</v>
      </c>
      <c r="D91" s="84">
        <f t="shared" ref="D91:R91" ca="1" si="42">-D75</f>
        <v>-7.8149389506628566</v>
      </c>
      <c r="E91" s="84">
        <f t="shared" ca="1" si="42"/>
        <v>-8.4401340667158848</v>
      </c>
      <c r="F91" s="84">
        <f t="shared" ca="1" si="42"/>
        <v>-9.1153447920531558</v>
      </c>
      <c r="G91" s="84">
        <f t="shared" ca="1" si="42"/>
        <v>-9.8445723754174086</v>
      </c>
      <c r="H91" s="84">
        <f t="shared" ca="1" si="42"/>
        <v>-10.632138165450799</v>
      </c>
      <c r="I91" s="84">
        <f t="shared" ca="1" si="42"/>
        <v>-11.482709218686864</v>
      </c>
      <c r="J91" s="84">
        <f t="shared" ca="1" si="42"/>
        <v>-12.401325956181816</v>
      </c>
      <c r="K91" s="84">
        <f t="shared" ca="1" si="42"/>
        <v>-13.393432032676358</v>
      </c>
      <c r="L91" s="84">
        <f t="shared" ca="1" si="42"/>
        <v>-14.464906595290469</v>
      </c>
      <c r="M91" s="84">
        <f t="shared" ca="1" si="42"/>
        <v>-15.622099122913706</v>
      </c>
      <c r="N91" s="84">
        <f t="shared" ca="1" si="42"/>
        <v>-16.871867052746801</v>
      </c>
      <c r="O91" s="84">
        <f t="shared" ca="1" si="42"/>
        <v>-18.221616416966544</v>
      </c>
      <c r="P91" s="84">
        <f t="shared" ca="1" si="42"/>
        <v>0</v>
      </c>
      <c r="Q91" s="84">
        <f t="shared" ca="1" si="42"/>
        <v>0</v>
      </c>
      <c r="R91" s="85">
        <f t="shared" si="42"/>
        <v>0</v>
      </c>
    </row>
    <row r="92" spans="1:29">
      <c r="A92" s="66" t="s">
        <v>70</v>
      </c>
      <c r="B92" s="37"/>
      <c r="C92" s="84">
        <f t="shared" ref="C92:R92" si="43">C55</f>
        <v>0</v>
      </c>
      <c r="D92" s="84">
        <f t="shared" si="43"/>
        <v>-2.52</v>
      </c>
      <c r="E92" s="84">
        <f t="shared" si="43"/>
        <v>-3.7548000000000137E-2</v>
      </c>
      <c r="F92" s="84">
        <f t="shared" si="43"/>
        <v>-3.8107465200000412E-2</v>
      </c>
      <c r="G92" s="84">
        <f t="shared" si="43"/>
        <v>-3.867526643147956E-2</v>
      </c>
      <c r="H92" s="84">
        <f t="shared" si="43"/>
        <v>-3.9251527901309036E-2</v>
      </c>
      <c r="I92" s="84">
        <f t="shared" si="43"/>
        <v>-3.983637566703857E-2</v>
      </c>
      <c r="J92" s="84">
        <f t="shared" si="43"/>
        <v>-4.0429937664478111E-2</v>
      </c>
      <c r="K92" s="84">
        <f t="shared" si="43"/>
        <v>-4.1032343735676768E-2</v>
      </c>
      <c r="L92" s="84">
        <f t="shared" si="43"/>
        <v>-4.1643725657340092E-2</v>
      </c>
      <c r="M92" s="84">
        <f t="shared" si="43"/>
        <v>-4.2264217169633689E-2</v>
      </c>
      <c r="N92" s="84">
        <f t="shared" si="43"/>
        <v>-4.2893954005462032E-2</v>
      </c>
      <c r="O92" s="84">
        <f t="shared" si="43"/>
        <v>-4.3533073920142495E-2</v>
      </c>
      <c r="P92" s="84">
        <f t="shared" si="43"/>
        <v>-4.4181716721554132E-2</v>
      </c>
      <c r="Q92" s="84">
        <f t="shared" si="43"/>
        <v>-4.4840024300703885E-2</v>
      </c>
      <c r="R92" s="85">
        <f>R55-SUM(D55:R55)</f>
        <v>3.0542376283748189</v>
      </c>
    </row>
    <row r="93" spans="1:29">
      <c r="A93" s="66" t="s">
        <v>71</v>
      </c>
      <c r="B93" s="37"/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0</v>
      </c>
      <c r="N93" s="84">
        <v>0</v>
      </c>
      <c r="O93" s="84">
        <v>0</v>
      </c>
      <c r="P93" s="84">
        <v>0</v>
      </c>
      <c r="Q93" s="84">
        <v>0</v>
      </c>
      <c r="R93" s="85">
        <f ca="1">R63</f>
        <v>19.999999999999954</v>
      </c>
    </row>
    <row r="94" spans="1:29" ht="15.6">
      <c r="A94" s="66" t="s">
        <v>72</v>
      </c>
      <c r="B94" s="43">
        <f ca="1">-D76*B28/12</f>
        <v>-9.8396728651619352</v>
      </c>
      <c r="C94" s="84">
        <f ca="1">IF(SUM(C89:C93)&lt;0,C96-SUM(C89:C93),0)</f>
        <v>0</v>
      </c>
      <c r="D94" s="84">
        <f t="shared" ref="D94:R94" ca="1" si="44">IF(SUM(D89:D93)&lt;0,D96-SUM(D89:D93),0)</f>
        <v>0</v>
      </c>
      <c r="E94" s="84">
        <f t="shared" ca="1" si="44"/>
        <v>0</v>
      </c>
      <c r="F94" s="84">
        <f t="shared" ca="1" si="44"/>
        <v>0</v>
      </c>
      <c r="G94" s="84">
        <f t="shared" ca="1" si="44"/>
        <v>0</v>
      </c>
      <c r="H94" s="84">
        <f t="shared" ca="1" si="44"/>
        <v>0</v>
      </c>
      <c r="I94" s="84">
        <f t="shared" ca="1" si="44"/>
        <v>0</v>
      </c>
      <c r="J94" s="84">
        <f t="shared" ca="1" si="44"/>
        <v>0</v>
      </c>
      <c r="K94" s="84">
        <f t="shared" ca="1" si="44"/>
        <v>0</v>
      </c>
      <c r="L94" s="84">
        <f t="shared" ca="1" si="44"/>
        <v>0</v>
      </c>
      <c r="M94" s="84">
        <f t="shared" ca="1" si="44"/>
        <v>0</v>
      </c>
      <c r="N94" s="84">
        <f t="shared" ca="1" si="44"/>
        <v>0</v>
      </c>
      <c r="O94" s="84">
        <f t="shared" ca="1" si="44"/>
        <v>0</v>
      </c>
      <c r="P94" s="84">
        <f t="shared" ca="1" si="44"/>
        <v>0</v>
      </c>
      <c r="Q94" s="84">
        <f t="shared" ca="1" si="44"/>
        <v>0</v>
      </c>
      <c r="R94" s="85">
        <f ca="1">-SUM(B94:Q94)</f>
        <v>9.8396728651619352</v>
      </c>
    </row>
    <row r="95" spans="1:29" s="1" customFormat="1" ht="15.6">
      <c r="A95" s="88" t="s">
        <v>73</v>
      </c>
      <c r="B95" s="42">
        <f ca="1">-B69+B94</f>
        <v>-73.398994899060256</v>
      </c>
      <c r="C95" s="28">
        <f t="shared" ref="C95:R95" ca="1" si="45">SUM(C89:C94)</f>
        <v>0</v>
      </c>
      <c r="D95" s="28">
        <f t="shared" ca="1" si="45"/>
        <v>6.5516460775857333</v>
      </c>
      <c r="E95" s="28">
        <f t="shared" ca="1" si="45"/>
        <v>9.2083584760724762</v>
      </c>
      <c r="F95" s="28">
        <f t="shared" ca="1" si="45"/>
        <v>9.3743028413740319</v>
      </c>
      <c r="G95" s="28">
        <f t="shared" ca="1" si="45"/>
        <v>9.5315474276629804</v>
      </c>
      <c r="H95" s="28">
        <f t="shared" ca="1" si="45"/>
        <v>9.6790780278725244</v>
      </c>
      <c r="I95" s="28">
        <f t="shared" ca="1" si="45"/>
        <v>9.815794830686853</v>
      </c>
      <c r="J95" s="28">
        <f t="shared" ca="1" si="45"/>
        <v>9.9405055137899971</v>
      </c>
      <c r="K95" s="28">
        <f t="shared" ca="1" si="45"/>
        <v>10.05191778394741</v>
      </c>
      <c r="L95" s="28">
        <f t="shared" ca="1" si="45"/>
        <v>10.148631319665</v>
      </c>
      <c r="M95" s="28">
        <f t="shared" ca="1" si="45"/>
        <v>10.229129068629767</v>
      </c>
      <c r="N95" s="28">
        <f t="shared" ca="1" si="45"/>
        <v>10.29176784831302</v>
      </c>
      <c r="O95" s="28">
        <f t="shared" ca="1" si="45"/>
        <v>10.33476819398752</v>
      </c>
      <c r="P95" s="28">
        <f t="shared" ca="1" si="45"/>
        <v>30.035549124274411</v>
      </c>
      <c r="Q95" s="28">
        <f t="shared" ca="1" si="45"/>
        <v>30.426920291858472</v>
      </c>
      <c r="R95" s="80">
        <f t="shared" ca="1" si="45"/>
        <v>63.763288418339179</v>
      </c>
      <c r="AC95" s="9"/>
    </row>
    <row r="96" spans="1:29">
      <c r="A96" s="66" t="s">
        <v>74</v>
      </c>
      <c r="B96" s="37"/>
      <c r="C96" s="84">
        <f>C76</f>
        <v>0</v>
      </c>
      <c r="D96" s="84">
        <f t="shared" ref="D96:R96" ca="1" si="46">D76</f>
        <v>19.67934573032387</v>
      </c>
      <c r="E96" s="84">
        <f t="shared" ca="1" si="46"/>
        <v>19.67934573032387</v>
      </c>
      <c r="F96" s="84">
        <f t="shared" ca="1" si="46"/>
        <v>19.67934573032387</v>
      </c>
      <c r="G96" s="84">
        <f t="shared" ca="1" si="46"/>
        <v>19.67934573032387</v>
      </c>
      <c r="H96" s="84">
        <f t="shared" ca="1" si="46"/>
        <v>19.67934573032387</v>
      </c>
      <c r="I96" s="84">
        <f t="shared" ca="1" si="46"/>
        <v>19.67934573032387</v>
      </c>
      <c r="J96" s="84">
        <f t="shared" ca="1" si="46"/>
        <v>19.67934573032387</v>
      </c>
      <c r="K96" s="84">
        <f t="shared" ca="1" si="46"/>
        <v>19.67934573032387</v>
      </c>
      <c r="L96" s="84">
        <f t="shared" ca="1" si="46"/>
        <v>19.67934573032387</v>
      </c>
      <c r="M96" s="84">
        <f t="shared" ca="1" si="46"/>
        <v>19.67934573032387</v>
      </c>
      <c r="N96" s="84">
        <f t="shared" ca="1" si="46"/>
        <v>19.67934573032387</v>
      </c>
      <c r="O96" s="84">
        <f t="shared" si="46"/>
        <v>0</v>
      </c>
      <c r="P96" s="84">
        <f t="shared" si="46"/>
        <v>0</v>
      </c>
      <c r="Q96" s="84">
        <f t="shared" si="46"/>
        <v>0</v>
      </c>
      <c r="R96" s="85">
        <f t="shared" si="46"/>
        <v>0</v>
      </c>
    </row>
    <row r="97" spans="1:29" s="1" customFormat="1">
      <c r="A97" s="88" t="s">
        <v>75</v>
      </c>
      <c r="B97" s="40"/>
      <c r="C97" s="28" t="str">
        <f>IFERROR(C84/C96,"")</f>
        <v/>
      </c>
      <c r="D97" s="28">
        <f t="shared" ref="D97:R97" ca="1" si="47">IFERROR(D84/D96,"")</f>
        <v>1.5303455924143858</v>
      </c>
      <c r="E97" s="28">
        <f t="shared" ca="1" si="47"/>
        <v>1.5527419452220332</v>
      </c>
      <c r="F97" s="28">
        <f t="shared" ca="1" si="47"/>
        <v>1.5754599438405343</v>
      </c>
      <c r="G97" s="28">
        <f t="shared" ca="1" si="47"/>
        <v>1.5985040218312234</v>
      </c>
      <c r="H97" s="28">
        <f t="shared" ca="1" si="47"/>
        <v>1.6218786681170914</v>
      </c>
      <c r="I97" s="28">
        <f t="shared" ca="1" si="47"/>
        <v>1.6455884274884678</v>
      </c>
      <c r="J97" s="28">
        <f t="shared" ca="1" si="47"/>
        <v>1.6696379011067137</v>
      </c>
      <c r="K97" s="28">
        <f t="shared" ca="1" si="47"/>
        <v>1.6940317470055948</v>
      </c>
      <c r="L97" s="28">
        <f t="shared" ca="1" si="47"/>
        <v>1.7187746805900217</v>
      </c>
      <c r="M97" s="28">
        <f t="shared" ca="1" si="47"/>
        <v>1.7438714751317965</v>
      </c>
      <c r="N97" s="28">
        <f t="shared" ca="1" si="47"/>
        <v>1.7693269622620367</v>
      </c>
      <c r="O97" s="28" t="str">
        <f t="shared" si="47"/>
        <v/>
      </c>
      <c r="P97" s="28" t="str">
        <f t="shared" si="47"/>
        <v/>
      </c>
      <c r="Q97" s="28" t="str">
        <f t="shared" si="47"/>
        <v/>
      </c>
      <c r="R97" s="80" t="str">
        <f t="shared" si="47"/>
        <v/>
      </c>
      <c r="AC97" s="9"/>
    </row>
    <row r="98" spans="1:29" s="1" customFormat="1" ht="15.6">
      <c r="A98" s="88" t="s">
        <v>76</v>
      </c>
      <c r="B98" s="41">
        <f ca="1">IRR(B95:R95)</f>
        <v>0.12008705904080652</v>
      </c>
      <c r="C98" s="53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96"/>
    </row>
    <row r="99" spans="1:29" s="1" customFormat="1" ht="16.2" thickBot="1">
      <c r="A99" s="97" t="s">
        <v>77</v>
      </c>
      <c r="B99" s="98">
        <f ca="1">NPV(B29,C95:R95)+B95</f>
        <v>13.496919906046443</v>
      </c>
      <c r="C99" s="99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1"/>
    </row>
  </sheetData>
  <mergeCells count="34">
    <mergeCell ref="C98:R99"/>
    <mergeCell ref="A3:B3"/>
    <mergeCell ref="A4:B4"/>
    <mergeCell ref="A1:R1"/>
    <mergeCell ref="A2:R2"/>
    <mergeCell ref="C3:R29"/>
    <mergeCell ref="A50:R50"/>
    <mergeCell ref="A56:R56"/>
    <mergeCell ref="A38:B38"/>
    <mergeCell ref="A45:B45"/>
    <mergeCell ref="A52:B52"/>
    <mergeCell ref="A44:B44"/>
    <mergeCell ref="C51:R51"/>
    <mergeCell ref="A51:B51"/>
    <mergeCell ref="C44:R44"/>
    <mergeCell ref="A26:B26"/>
    <mergeCell ref="A17:B17"/>
    <mergeCell ref="A13:B13"/>
    <mergeCell ref="A30:R30"/>
    <mergeCell ref="A43:R43"/>
    <mergeCell ref="A31:B31"/>
    <mergeCell ref="C31:R31"/>
    <mergeCell ref="C32:R37"/>
    <mergeCell ref="A64:R64"/>
    <mergeCell ref="A78:R78"/>
    <mergeCell ref="A57:B57"/>
    <mergeCell ref="A65:B65"/>
    <mergeCell ref="A79:B79"/>
    <mergeCell ref="C57:R57"/>
    <mergeCell ref="C65:R65"/>
    <mergeCell ref="C79:R79"/>
    <mergeCell ref="A58:B58"/>
    <mergeCell ref="A72:B72"/>
    <mergeCell ref="C67:Q71"/>
  </mergeCells>
  <conditionalFormatting sqref="C97:R97">
    <cfRule type="cellIs" dxfId="0" priority="1" operator="lessThan">
      <formula>1.2</formula>
    </cfRule>
  </conditionalFormatting>
  <pageMargins left="0.25" right="0.25" top="0.75" bottom="0.75" header="0.3" footer="0.3"/>
  <pageSetup scale="5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Capacity</vt:lpstr>
      <vt:lpstr>Capacity_factor</vt:lpstr>
      <vt:lpstr>Degradation</vt:lpstr>
      <vt:lpstr>inflation_rate</vt:lpstr>
      <vt:lpstr>ppa_tariff</vt:lpstr>
      <vt:lpstr>Project_life</vt:lpstr>
      <vt:lpstr>Tariff_escalator</vt:lpstr>
      <vt:lpstr>Tax_rate</vt:lpstr>
      <vt:lpstr>WC_days</vt:lpstr>
      <vt:lpstr>Yearly_hours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2026-08-12T18:13:54Z</dcterms:modified>
</cp:coreProperties>
</file>